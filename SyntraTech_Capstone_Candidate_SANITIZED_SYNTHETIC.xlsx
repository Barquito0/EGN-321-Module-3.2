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46c9a6533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0e9dba547a467d"/>
    <x:sheet xmlns:r="http://schemas.openxmlformats.org/officeDocument/2006/relationships" name="Assumptions" sheetId="2" r:id="R05dbc608be07445b"/>
    <x:sheet xmlns:r="http://schemas.openxmlformats.org/officeDocument/2006/relationships" name="Monthly_Model" sheetId="3" r:id="R1d1e28bd30f8441f"/>
    <x:sheet xmlns:r="http://schemas.openxmlformats.org/officeDocument/2006/relationships" name="Pricing_Scenarios" sheetId="4" r:id="R87cd2f7fbb9d4b2e"/>
    <x:sheet xmlns:r="http://schemas.openxmlformats.org/officeDocument/2006/relationships" name="Cloud_Upgrade" sheetId="5" r:id="Rb8bdbefadf54451f"/>
    <x:sheet xmlns:r="http://schemas.openxmlformats.org/officeDocument/2006/relationships" name="Actuals_Tracker" sheetId="6" r:id="Rf4bc3a92a67c401f"/>
    <x:sheet xmlns:r="http://schemas.openxmlformats.org/officeDocument/2006/relationships" name="Dashboard" sheetId="7" r:id="R243ba4ad5030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$#,##0;[Red]($#,##0);-"/>
    <x:numFmt numFmtId="202" formatCode="0.0%"/>
    <x:numFmt numFmtId="203" formatCode="#,##0.0;[Red](#,##0.0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5F9F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0" xfId="0" applyNumberFormat="1" applyFont="1" applyFill="1" applyBorder="1"/>
    <x:xf numFmtId="200" fontId="2" fillId="4" borderId="1" xfId="0" applyNumberFormat="1" applyFont="1" applyFill="1" applyBorder="1"/>
    <x:xf numFmtId="201" fontId="2" fillId="4" borderId="0" xfId="0" applyNumberFormat="1" applyFont="1" applyFill="1" applyBorder="1"/>
    <x:xf numFmtId="201" fontId="2" fillId="4" borderId="1" xfId="0" applyNumberFormat="1" applyFont="1" applyFill="1" applyBorder="1"/>
    <x:xf numFmtId="202" fontId="2" fillId="4" borderId="0" xfId="0" applyNumberFormat="1" applyFont="1" applyFill="1" applyBorder="1"/>
    <x:xf numFmtId="202" fontId="2" fillId="4" borderId="1" xfId="0" applyNumberFormat="1" applyFont="1" applyFill="1" applyBorder="1"/>
    <x:xf numFmtId="203" fontId="2" fillId="4" borderId="0" xfId="0" applyNumberFormat="1" applyFont="1" applyFill="1" applyBorder="1"/>
    <x:xf numFmtId="203" fontId="2" fillId="4" borderId="1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202" fontId="2" fillId="4" borderId="0" xfId="0" applyNumberFormat="1" applyFont="1" applyFill="1" applyBorder="1" applyAlignment="1">
      <x:alignment wrapText="1"/>
    </x:xf>
    <x:xf numFmtId="203" fontId="2" fillId="4" borderId="0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201" fontId="2" fillId="4" borderId="1" xfId="0" applyNumberFormat="1" applyFont="1" applyFill="1" applyBorder="1" applyAlignment="1">
      <x:alignment wrapText="1"/>
    </x:xf>
    <x:xf numFmtId="202" fontId="2" fillId="4" borderId="1" xfId="0" applyNumberFormat="1" applyFont="1" applyFill="1" applyBorder="1" applyAlignment="1">
      <x:alignment wrapText="1"/>
    </x:xf>
    <x:xf numFmtId="203" fontId="2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1" fontId="3" fillId="5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0" fillId="6" borderId="0" xfId="0" applyNumberFormat="1" applyFont="1" applyFill="1" applyBorder="1"/>
    <x:xf numFmtId="203" fontId="4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203" fontId="4" fillId="6" borderId="1" xfId="0" applyNumberFormat="1" applyFont="1" applyFill="1" applyBorder="1"/>
    <x:xf numFmtId="0" fontId="4" fillId="6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559f1ee114f10" /><Relationship Type="http://schemas.openxmlformats.org/officeDocument/2006/relationships/theme" Target="/xl/theme/theme1.xml" Id="R45554095901349c1" /><Relationship Type="http://schemas.openxmlformats.org/officeDocument/2006/relationships/sharedStrings" Target="/xl/sharedStrings.xml" Id="Rf211ac6f4afd4a60" /><Relationship Type="http://schemas.openxmlformats.org/officeDocument/2006/relationships/worksheet" Target="/xl/worksheets/sheet1.xml" Id="R240e9dba547a467d" /><Relationship Type="http://schemas.openxmlformats.org/officeDocument/2006/relationships/worksheet" Target="/xl/worksheets/sheet2.xml" Id="R05dbc608be07445b" /><Relationship Type="http://schemas.openxmlformats.org/officeDocument/2006/relationships/worksheet" Target="/xl/worksheets/sheet3.xml" Id="R1d1e28bd30f8441f" /><Relationship Type="http://schemas.openxmlformats.org/officeDocument/2006/relationships/worksheet" Target="/xl/worksheets/sheet4.xml" Id="R87cd2f7fbb9d4b2e" /><Relationship Type="http://schemas.openxmlformats.org/officeDocument/2006/relationships/worksheet" Target="/xl/worksheets/sheet5.xml" Id="Rb8bdbefadf54451f" /><Relationship Type="http://schemas.openxmlformats.org/officeDocument/2006/relationships/worksheet" Target="/xl/worksheets/sheet6.xml" Id="Rf4bc3a92a67c401f" /><Relationship Type="http://schemas.openxmlformats.org/officeDocument/2006/relationships/worksheet" Target="/xl/worksheets/sheet7.xml" Id="R243ba4ad503046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606d4bd8cb4e42" /><Relationship Type="http://schemas.openxmlformats.org/officeDocument/2006/relationships/chart" Target="/xl/drawings/charts/chart2.xml" Id="Ra08ae85f2ca24b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Net Income by Month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Total Revenue</c:v>
          </c:tx>
          <c:marker>
            <c:symbol val="none"/>
          </c:marker>
          <c:cat>
            <c:strRef>
              <c:f>'Monthly_Model'!$A$5:$A$16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'Monthly_Model'!$L$5:$L$16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Net Income</c:v>
          </c:tx>
          <c:marker>
            <c:symbol val="none"/>
          </c:marker>
          <c:cat>
            <c:strRef>
              <c:f>'Monthly_Model'!$A$5:$A$16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'Monthly_Model'!$R$5:$R$16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Projected Customers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Ending Customers</c:v>
          </c:tx>
          <c:marker>
            <c:symbol val="none"/>
          </c:marker>
          <c:cat>
            <c:strRef>
              <c:f>'Monthly_Model'!$A$5:$A$16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'Monthly_Model'!$H$5:$H$16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606d4bd8cb4e42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8ae85f2ca24b9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19ee86f2c864a5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8" customHeight="1">
      <x:c r="A1" s="5" t="str">
        <x:v>SyntraTech Pricing &amp; Growth Planning Workbook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SYNTHETIC CLASSROOM COPY — based on a real SyntraTech business-planning process. Contains no customer, driver, credential, payment, or other private operational data.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5" t="str">
        <x:v>Purpose</x:v>
      </x:c>
      <x:c r="B5" s="5"/>
      <x:c r="C5" s="5"/>
      <x:c r="D5" s="5"/>
      <x:c r="E5" s="5"/>
      <x:c r="F5" s="5"/>
      <x:c r="G5" s="5"/>
      <x:c r="H5" s="5"/>
    </x:row>
    <x:row r="6">
      <x:c r="A6" s="14" t="str">
        <x:v>This workbook models pricing, customer growth, advertising, infrastructure upgrades, operating costs, revenue, net income, and cash planning for SyntraTech. It supports real business planning decisions while using classroom-safe synthetic assumptions.</x:v>
      </x:c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1">
      <x:c r="A11" s="5" t="str">
        <x:v>How It Is Used</x:v>
      </x:c>
      <x:c r="B11" s="5"/>
      <x:c r="C11" s="5"/>
      <x:c r="D11" s="5"/>
      <x:c r="E11" s="5"/>
      <x:c r="F11" s="5"/>
      <x:c r="G11" s="5"/>
      <x:c r="H11" s="5"/>
    </x:row>
    <x:row r="12">
      <x:c r="A12" s="14" t="str">
        <x:v>A business owner or operations manager changes assumptions, reviews the 12-month forecast, compares pricing scenarios, and considers when local infrastructure may need to move to cloud stages. The Dashboard summarizes the main results.</x:v>
      </x:c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8">
      <x:c r="A18" s="5" t="str">
        <x:v>Classroom Safety</x:v>
      </x:c>
      <x:c r="B18" s="5"/>
      <x:c r="C18" s="5"/>
      <x:c r="D18" s="5"/>
      <x:c r="E18" s="5"/>
      <x:c r="F18" s="5"/>
      <x:c r="G18" s="5"/>
      <x:c r="H18" s="5"/>
    </x:row>
    <x:row r="19">
      <x:c r="A19" s="14" t="str">
        <x:v>All submitted values are synthetic. Do not add driver names, license numbers, dates of birth, customer names, credentials, API keys, payment information, or confidential pricing. A private working copy could later use aggregate real totals and then be re-sanitized.</x:v>
      </x:c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5">
      <x:c r="A25" s="5" t="str">
        <x:v>Current Limitations Worth Auditing</x:v>
      </x:c>
      <x:c r="B25" s="5"/>
      <x:c r="C25" s="5"/>
      <x:c r="D25" s="5"/>
      <x:c r="E25" s="5"/>
      <x:c r="F25" s="5"/>
      <x:c r="G25" s="5"/>
      <x:c r="H25" s="5"/>
    </x:row>
    <x:row r="26">
      <x:c r="A26" s="18" t="str">
        <x:v>Area</x:v>
      </x:c>
      <x:c r="B26" s="18" t="str">
        <x:v>Current limitation</x:v>
      </x:c>
    </x:row>
    <x:row r="27">
      <x:c r="A27" s="14" t="str">
        <x:v>Customer growth</x:v>
      </x:c>
      <x:c r="B27" s="14" t="str">
        <x:v>Simplified lead, conversion, and churn assumptions may not match future results.</x:v>
      </x:c>
    </x:row>
    <x:row r="28">
      <x:c r="A28" s="14" t="str">
        <x:v>Advertising</x:v>
      </x:c>
      <x:c r="B28" s="14" t="str">
        <x:v>One blended cost-per-lead and conversion rate is used for all channels.</x:v>
      </x:c>
    </x:row>
    <x:row r="29">
      <x:c r="A29" s="14" t="str">
        <x:v>Cloud upgrades</x:v>
      </x:c>
      <x:c r="B29" s="14" t="str">
        <x:v>Customer-count thresholds are used instead of measured CPU, memory, request rate, or uptime.</x:v>
      </x:c>
    </x:row>
    <x:row r="30">
      <x:c r="A30" s="14" t="str">
        <x:v>Manager add-ons</x:v>
      </x:c>
      <x:c r="B30" s="14" t="str">
        <x:v>Uses one average managers-per-customer assumption rather than customer-specific counts.</x:v>
      </x:c>
    </x:row>
    <x:row r="31">
      <x:c r="A31" s="14" t="str">
        <x:v>Income</x:v>
      </x:c>
      <x:c r="B31" s="14" t="str">
        <x:v>The classroom version uses synthetic values; real financial data should stay private unless sanitized.</x:v>
      </x:c>
    </x:row>
  </x:sheetData>
  <x:mergeCells>
    <x:mergeCell ref="A1:H1"/>
    <x:mergeCell ref="A2:H3"/>
    <x:mergeCell ref="A5:H5"/>
    <x:mergeCell ref="A6:H9"/>
    <x:mergeCell ref="A11:H11"/>
    <x:mergeCell ref="A12:H16"/>
    <x:mergeCell ref="A18:H18"/>
    <x:mergeCell ref="A19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7" hidden="0" customWidth="1"/>
    <x:col min="4" max="4" width="21" hidden="0" customWidth="1"/>
    <x:col min="5" max="5" width="46" hidden="0" customWidth="1"/>
    <x:col min="6" max="6" width="46" hidden="0" customWidth="1"/>
  </x:cols>
  <x:sheetData>
    <x:row r="1" ht="28" customHeight="1">
      <x:c r="A1" s="5" t="str">
        <x:v>SyntraTech Model Assumptions</x:v>
      </x:c>
      <x:c r="B1" s="5"/>
      <x:c r="C1" s="5"/>
      <x:c r="D1" s="5"/>
      <x:c r="E1" s="5"/>
      <x:c r="F1" s="5"/>
    </x:row>
    <x:row r="2">
      <x:c r="A2" s="11" t="str">
        <x:v>Blue text / yellow fill = synthetic hardcoded input. Values are editable for scenarios. The source/notes column explains that classroom values are synthetic.</x:v>
      </x:c>
      <x:c r="B2" s="11"/>
      <x:c r="C2" s="11"/>
      <x:c r="D2" s="11"/>
      <x:c r="E2" s="11"/>
      <x:c r="F2" s="11"/>
    </x:row>
    <x:row r="3">
      <x:c r="A3" s="11"/>
      <x:c r="B3" s="11"/>
      <x:c r="C3" s="11"/>
      <x:c r="D3" s="11"/>
      <x:c r="E3" s="11"/>
      <x:c r="F3" s="11"/>
    </x:row>
    <x:row r="4">
      <x:c r="A4" s="18" t="str">
        <x:v>Category</x:v>
      </x:c>
      <x:c r="B4" s="18" t="str">
        <x:v>Input</x:v>
      </x:c>
      <x:c r="C4" s="18" t="str">
        <x:v>Value</x:v>
      </x:c>
      <x:c r="D4" s="18" t="str">
        <x:v>Unit</x:v>
      </x:c>
      <x:c r="E4" s="18" t="str">
        <x:v>Source / Note</x:v>
      </x:c>
      <x:c r="F4" s="18" t="str">
        <x:v>Audit Question</x:v>
      </x:c>
    </x:row>
    <x:row r="5">
      <x:c r="A5" s="14" t="str">
        <x:v>Business Baseline</x:v>
      </x:c>
      <x:c r="B5" s="14" t="str">
        <x:v>Current paying customers</x:v>
      </x:c>
      <x:c r="C5" s="34" t="n">
        <x:v>0</x:v>
      </x:c>
      <x:c r="D5" s="14" t="str">
        <x:v>customers</x:v>
      </x:c>
      <x:c r="E5" s="14" t="str">
        <x:v>Synthetic classroom baseline.</x:v>
      </x:c>
      <x:c r="F5" s="14" t="str">
        <x:v>Is the starting customer count current and documented?</x:v>
      </x:c>
    </x:row>
    <x:row r="6">
      <x:c r="A6" s="14" t="str">
        <x:v>Business Baseline</x:v>
      </x:c>
      <x:c r="B6" s="14" t="str">
        <x:v>Current monthly revenue</x:v>
      </x:c>
      <x:c r="C6" s="35" t="n">
        <x:v>0</x:v>
      </x:c>
      <x:c r="D6" s="14" t="str">
        <x:v>$/month</x:v>
      </x:c>
      <x:c r="E6" s="14" t="str">
        <x:v>Synthetic classroom baseline; no private revenue included.</x:v>
      </x:c>
      <x:c r="F6" s="14" t="str">
        <x:v>Should actual revenue be imported instead of typed?</x:v>
      </x:c>
    </x:row>
    <x:row r="7">
      <x:c r="A7" s="14" t="str">
        <x:v>Business Baseline</x:v>
      </x:c>
      <x:c r="B7" s="14" t="str">
        <x:v>Starting cash available</x:v>
      </x:c>
      <x:c r="C7" s="35" t="n">
        <x:v>5000</x:v>
      </x:c>
      <x:c r="D7" s="14" t="str">
        <x:v>$</x:v>
      </x:c>
      <x:c r="E7" s="14" t="str">
        <x:v>Synthetic classroom assumption.</x:v>
      </x:c>
      <x:c r="F7" s="14" t="str">
        <x:v>Is cash defined consistently with accounting records?</x:v>
      </x:c>
    </x:row>
    <x:row r="8">
      <x:c r="A8" s="14" t="str">
        <x:v>Business Baseline</x:v>
      </x:c>
      <x:c r="B8" s="14" t="str">
        <x:v>Average managers per DSP</x:v>
      </x:c>
      <x:c r="C8" s="34" t="n">
        <x:v>8</x:v>
      </x:c>
      <x:c r="D8" s="14" t="str">
        <x:v>managers/customer</x:v>
      </x:c>
      <x:c r="E8" s="14" t="str">
        <x:v>Synthetic planning assumption.</x:v>
      </x:c>
      <x:c r="F8" s="14" t="str">
        <x:v>Is one average appropriate for small and large customers?</x:v>
      </x:c>
    </x:row>
    <x:row r="9">
      <x:c r="A9" s="14" t="str">
        <x:v>Business Baseline</x:v>
      </x:c>
      <x:c r="B9" s="14" t="str">
        <x:v>Included managers per subscription</x:v>
      </x:c>
      <x:c r="C9" s="34" t="n">
        <x:v>3</x:v>
      </x:c>
      <x:c r="D9" s="14" t="str">
        <x:v>managers/customer</x:v>
      </x:c>
      <x:c r="E9" s="14" t="str">
        <x:v>Synthetic pricing assumption.</x:v>
      </x:c>
      <x:c r="F9" s="14" t="str">
        <x:v>Should manager limits vary by plan?</x:v>
      </x:c>
    </x:row>
    <x:row r="10">
      <x:c r="A10" s="14" t="str">
        <x:v>Business Baseline</x:v>
      </x:c>
      <x:c r="B10" s="14" t="str">
        <x:v>Average driver checks per DSP per month</x:v>
      </x:c>
      <x:c r="C10" s="34" t="n">
        <x:v>600</x:v>
      </x:c>
      <x:c r="D10" s="14" t="str">
        <x:v>checks/customer/month</x:v>
      </x:c>
      <x:c r="E10" s="14" t="str">
        <x:v>Synthetic operational assumption.</x:v>
      </x:c>
      <x:c r="F10" s="14" t="str">
        <x:v>Should infrastructure cost depend on checks instead of customer count?</x:v>
      </x:c>
    </x:row>
    <x:row r="11">
      <x:c r="A11" s="14" t="str">
        <x:v>Pricing</x:v>
      </x:c>
      <x:c r="B11" s="14" t="str">
        <x:v>Base monthly subscription price</x:v>
      </x:c>
      <x:c r="C11" s="35" t="n">
        <x:v>349</x:v>
      </x:c>
      <x:c r="D11" s="14" t="str">
        <x:v>$/customer/month</x:v>
      </x:c>
      <x:c r="E11" s="14" t="str">
        <x:v>Synthetic price used for modeling.</x:v>
      </x:c>
      <x:c r="F11" s="14" t="str">
        <x:v>Is price supported by customer willingness-to-pay evidence?</x:v>
      </x:c>
    </x:row>
    <x:row r="12">
      <x:c r="A12" s="14" t="str">
        <x:v>Pricing</x:v>
      </x:c>
      <x:c r="B12" s="14" t="str">
        <x:v>Additional manager fee</x:v>
      </x:c>
      <x:c r="C12" s="35" t="n">
        <x:v>35</x:v>
      </x:c>
      <x:c r="D12" s="14" t="str">
        <x:v>$/manager/month</x:v>
      </x:c>
      <x:c r="E12" s="14" t="str">
        <x:v>Synthetic add-on price.</x:v>
      </x:c>
      <x:c r="F12" s="14" t="str">
        <x:v>Could manager pricing discourage adoption?</x:v>
      </x:c>
    </x:row>
    <x:row r="13">
      <x:c r="A13" s="14" t="str">
        <x:v>Pricing</x:v>
      </x:c>
      <x:c r="B13" s="14" t="str">
        <x:v>One-time onboarding fee</x:v>
      </x:c>
      <x:c r="C13" s="35" t="n">
        <x:v>250</x:v>
      </x:c>
      <x:c r="D13" s="14" t="str">
        <x:v>$/new customer</x:v>
      </x:c>
      <x:c r="E13" s="14" t="str">
        <x:v>Synthetic onboarding assumption.</x:v>
      </x:c>
      <x:c r="F13" s="14" t="str">
        <x:v>Does onboarding effort justify the fee?</x:v>
      </x:c>
    </x:row>
    <x:row r="14">
      <x:c r="A14" s="14" t="str">
        <x:v>Growth &amp; Retention</x:v>
      </x:c>
      <x:c r="B14" s="14" t="str">
        <x:v>Annual customer churn rate</x:v>
      </x:c>
      <x:c r="C14" s="36" t="n">
        <x:v>0.12</x:v>
      </x:c>
      <x:c r="D14" s="14" t="str">
        <x:v>%/year</x:v>
      </x:c>
      <x:c r="E14" s="14" t="str">
        <x:v>Synthetic planning assumption.</x:v>
      </x:c>
      <x:c r="F14" s="14" t="str">
        <x:v>Is a single churn rate appropriate?</x:v>
      </x:c>
    </x:row>
    <x:row r="15">
      <x:c r="A15" s="14" t="str">
        <x:v>Marketing</x:v>
      </x:c>
      <x:c r="B15" s="14" t="str">
        <x:v>Starting monthly advertising spend</x:v>
      </x:c>
      <x:c r="C15" s="35" t="n">
        <x:v>1200</x:v>
      </x:c>
      <x:c r="D15" s="14" t="str">
        <x:v>$/month</x:v>
      </x:c>
      <x:c r="E15" s="14" t="str">
        <x:v>Synthetic classroom assumption.</x:v>
      </x:c>
      <x:c r="F15" s="14" t="str">
        <x:v>How will spend be tied to qualified DSP leads?</x:v>
      </x:c>
    </x:row>
    <x:row r="16">
      <x:c r="A16" s="14" t="str">
        <x:v>Marketing</x:v>
      </x:c>
      <x:c r="B16" s="14" t="str">
        <x:v>Cost per qualified lead</x:v>
      </x:c>
      <x:c r="C16" s="35" t="n">
        <x:v>60</x:v>
      </x:c>
      <x:c r="D16" s="14" t="str">
        <x:v>$/lead</x:v>
      </x:c>
      <x:c r="E16" s="14" t="str">
        <x:v>Synthetic classroom assumption.</x:v>
      </x:c>
      <x:c r="F16" s="14" t="str">
        <x:v>Does CPL vary materially by channel?</x:v>
      </x:c>
    </x:row>
    <x:row r="17">
      <x:c r="A17" s="14" t="str">
        <x:v>Marketing</x:v>
      </x:c>
      <x:c r="B17" s="14" t="str">
        <x:v>Lead-to-customer conversion rate</x:v>
      </x:c>
      <x:c r="C17" s="36" t="n">
        <x:v>0.12</x:v>
      </x:c>
      <x:c r="D17" s="14" t="str">
        <x:v>%</x:v>
      </x:c>
      <x:c r="E17" s="14" t="str">
        <x:v>Synthetic classroom assumption.</x:v>
      </x:c>
      <x:c r="F17" s="14" t="str">
        <x:v>Is one blended conversion rate too simple?</x:v>
      </x:c>
    </x:row>
    <x:row r="18">
      <x:c r="A18" s="14" t="str">
        <x:v>Marketing</x:v>
      </x:c>
      <x:c r="B18" s="14" t="str">
        <x:v>Organic new customers per month</x:v>
      </x:c>
      <x:c r="C18" s="37" t="n">
        <x:v>0.5</x:v>
      </x:c>
      <x:c r="D18" s="14" t="str">
        <x:v>customers/month</x:v>
      </x:c>
      <x:c r="E18" s="14" t="str">
        <x:v>Synthetic classroom assumption.</x:v>
      </x:c>
      <x:c r="F18" s="14" t="str">
        <x:v>Do fractional customers distort monthly planning?</x:v>
      </x:c>
    </x:row>
    <x:row r="19">
      <x:c r="A19" s="14" t="str">
        <x:v>Marketing</x:v>
      </x:c>
      <x:c r="B19" s="14" t="str">
        <x:v>Monthly advertising budget growth</x:v>
      </x:c>
      <x:c r="C19" s="36" t="n">
        <x:v>0.05</x:v>
      </x:c>
      <x:c r="D19" s="14" t="str">
        <x:v>%/month</x:v>
      </x:c>
      <x:c r="E19" s="14" t="str">
        <x:v>Synthetic classroom assumption.</x:v>
      </x:c>
      <x:c r="F19" s="14" t="str">
        <x:v>Should ad spend grow only after proven ROI?</x:v>
      </x:c>
    </x:row>
    <x:row r="20">
      <x:c r="A20" s="14" t="str">
        <x:v>Infrastructure</x:v>
      </x:c>
      <x:c r="B20" s="14" t="str">
        <x:v>Local server monthly fixed cost</x:v>
      </x:c>
      <x:c r="C20" s="35" t="n">
        <x:v>80</x:v>
      </x:c>
      <x:c r="D20" s="14" t="str">
        <x:v>$/month</x:v>
      </x:c>
      <x:c r="E20" s="14" t="str">
        <x:v>Synthetic estimate.</x:v>
      </x:c>
      <x:c r="F20" s="14" t="str">
        <x:v>Are all local hosting costs captured?</x:v>
      </x:c>
    </x:row>
    <x:row r="21">
      <x:c r="A21" s="14" t="str">
        <x:v>Infrastructure</x:v>
      </x:c>
      <x:c r="B21" s="14" t="str">
        <x:v>Cloud Stage 1 fixed monthly cost</x:v>
      </x:c>
      <x:c r="C21" s="35" t="n">
        <x:v>250</x:v>
      </x:c>
      <x:c r="D21" s="14" t="str">
        <x:v>$/month</x:v>
      </x:c>
      <x:c r="E21" s="14" t="str">
        <x:v>Synthetic future cloud assumption.</x:v>
      </x:c>
      <x:c r="F21" s="14" t="str">
        <x:v>Should cost be tied to measured usage?</x:v>
      </x:c>
    </x:row>
    <x:row r="22">
      <x:c r="A22" s="14" t="str">
        <x:v>Infrastructure</x:v>
      </x:c>
      <x:c r="B22" s="14" t="str">
        <x:v>Cloud Stage 2 fixed monthly cost</x:v>
      </x:c>
      <x:c r="C22" s="35" t="n">
        <x:v>600</x:v>
      </x:c>
      <x:c r="D22" s="14" t="str">
        <x:v>$/month</x:v>
      </x:c>
      <x:c r="E22" s="14" t="str">
        <x:v>Synthetic future cloud assumption.</x:v>
      </x:c>
      <x:c r="F22" s="14" t="str">
        <x:v>Should redundancy and backup costs be separate?</x:v>
      </x:c>
    </x:row>
    <x:row r="23">
      <x:c r="A23" s="14" t="str">
        <x:v>Infrastructure</x:v>
      </x:c>
      <x:c r="B23" s="14" t="str">
        <x:v>Cloud Stage 1 trigger</x:v>
      </x:c>
      <x:c r="C23" s="34" t="n">
        <x:v>15</x:v>
      </x:c>
      <x:c r="D23" s="14" t="str">
        <x:v>customers</x:v>
      </x:c>
      <x:c r="E23" s="14" t="str">
        <x:v>Synthetic threshold.</x:v>
      </x:c>
      <x:c r="F23" s="14" t="str">
        <x:v>Could customer count be a weak proxy for load?</x:v>
      </x:c>
    </x:row>
    <x:row r="24">
      <x:c r="A24" s="14" t="str">
        <x:v>Infrastructure</x:v>
      </x:c>
      <x:c r="B24" s="14" t="str">
        <x:v>Cloud Stage 2 trigger</x:v>
      </x:c>
      <x:c r="C24" s="34" t="n">
        <x:v>50</x:v>
      </x:c>
      <x:c r="D24" s="14" t="str">
        <x:v>customers</x:v>
      </x:c>
      <x:c r="E24" s="14" t="str">
        <x:v>Synthetic threshold.</x:v>
      </x:c>
      <x:c r="F24" s="14" t="str">
        <x:v>Should checks/hour and concurrency drive this?</x:v>
      </x:c>
    </x:row>
    <x:row r="25">
      <x:c r="A25" s="14" t="str">
        <x:v>Infrastructure</x:v>
      </x:c>
      <x:c r="B25" s="14" t="str">
        <x:v>Variable cloud cost per customer</x:v>
      </x:c>
      <x:c r="C25" s="35" t="n">
        <x:v>8</x:v>
      </x:c>
      <x:c r="D25" s="14" t="str">
        <x:v>$/customer/month</x:v>
      </x:c>
      <x:c r="E25" s="14" t="str">
        <x:v>Synthetic future cloud assumption.</x:v>
      </x:c>
      <x:c r="F25" s="14" t="str">
        <x:v>Does cost scale more with checks than customers?</x:v>
      </x:c>
    </x:row>
    <x:row r="26">
      <x:c r="A26" s="14" t="str">
        <x:v>Operations</x:v>
      </x:c>
      <x:c r="B26" s="14" t="str">
        <x:v>Support hours per customer per month</x:v>
      </x:c>
      <x:c r="C26" s="37" t="n">
        <x:v>1.5</x:v>
      </x:c>
      <x:c r="D26" s="14" t="str">
        <x:v>hours/customer/month</x:v>
      </x:c>
      <x:c r="E26" s="14" t="str">
        <x:v>Synthetic support assumption.</x:v>
      </x:c>
      <x:c r="F26" s="14" t="str">
        <x:v>Will early customers need more support?</x:v>
      </x:c>
    </x:row>
    <x:row r="27">
      <x:c r="A27" s="14" t="str">
        <x:v>Operations</x:v>
      </x:c>
      <x:c r="B27" s="14" t="str">
        <x:v>Support labor rate</x:v>
      </x:c>
      <x:c r="C27" s="35" t="n">
        <x:v>25</x:v>
      </x:c>
      <x:c r="D27" s="14" t="str">
        <x:v>$/hour</x:v>
      </x:c>
      <x:c r="E27" s="14" t="str">
        <x:v>Synthetic internal-cost assumption.</x:v>
      </x:c>
      <x:c r="F27" s="14" t="str">
        <x:v>Does this include founder time and burden?</x:v>
      </x:c>
    </x:row>
    <x:row r="28">
      <x:c r="A28" s="14" t="str">
        <x:v>Operations</x:v>
      </x:c>
      <x:c r="B28" s="14" t="str">
        <x:v>Payment processing rate</x:v>
      </x:c>
      <x:c r="C28" s="36" t="n">
        <x:v>0.03</x:v>
      </x:c>
      <x:c r="D28" s="14" t="str">
        <x:v>% of revenue</x:v>
      </x:c>
      <x:c r="E28" s="14" t="str">
        <x:v>Synthetic classroom assumption.</x:v>
      </x:c>
      <x:c r="F28" s="14" t="str">
        <x:v>Actual processor pricing may differ.</x:v>
      </x:c>
    </x:row>
    <x:row r="29">
      <x:c r="A29" s="14" t="str">
        <x:v>Operations</x:v>
      </x:c>
      <x:c r="B29" s="14" t="str">
        <x:v>Other fixed software/services</x:v>
      </x:c>
      <x:c r="C29" s="35" t="n">
        <x:v>150</x:v>
      </x:c>
      <x:c r="D29" s="14" t="str">
        <x:v>$/month</x:v>
      </x:c>
      <x:c r="E29" s="14" t="str">
        <x:v>Synthetic allowance.</x:v>
      </x:c>
      <x:c r="F29" s="14" t="str">
        <x:v>Are monitoring, email, domain, and security tools included?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3" max="3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3" max="13" width="18" hidden="0" customWidth="1"/>
    <x:col min="19" max="19" width="17" hidden="0" customWidth="1"/>
  </x:cols>
  <x:sheetData>
    <x:row r="1" ht="28" customHeight="1">
      <x:c r="A1" s="5" t="str">
        <x:v>12-Month SyntraTech Operating Forecast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1" t="str">
        <x:v>Forecast uses synthetic classroom assumptions. Formula results support planning only; they are not accounting statements or guaranteed business outcomes.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>
      <x:c r="A4" s="18" t="str">
        <x:v>Month</x:v>
      </x:c>
      <x:c r="B4" s="18" t="str">
        <x:v>Beginning Customers</x:v>
      </x:c>
      <x:c r="C4" s="18" t="str">
        <x:v>Ad Spend ($)</x:v>
      </x:c>
      <x:c r="D4" s="18" t="str">
        <x:v>Paid Leads</x:v>
      </x:c>
      <x:c r="E4" s="18" t="str">
        <x:v>Paid New Customers</x:v>
      </x:c>
      <x:c r="F4" s="18" t="str">
        <x:v>Organic New Customers</x:v>
      </x:c>
      <x:c r="G4" s="18" t="str">
        <x:v>Churned Customers</x:v>
      </x:c>
      <x:c r="H4" s="18" t="str">
        <x:v>Ending Customers</x:v>
      </x:c>
      <x:c r="I4" s="18" t="str">
        <x:v>Subscription Revenue ($)</x:v>
      </x:c>
      <x:c r="J4" s="18" t="str">
        <x:v>Manager Add-on Revenue ($)</x:v>
      </x:c>
      <x:c r="K4" s="18" t="str">
        <x:v>Onboarding Revenue ($)</x:v>
      </x:c>
      <x:c r="L4" s="18" t="str">
        <x:v>Total Revenue ($)</x:v>
      </x:c>
      <x:c r="M4" s="18" t="str">
        <x:v>Infrastructure Stage</x:v>
      </x:c>
      <x:c r="N4" s="18" t="str">
        <x:v>Infrastructure Cost ($)</x:v>
      </x:c>
      <x:c r="O4" s="18" t="str">
        <x:v>Support Cost ($)</x:v>
      </x:c>
      <x:c r="P4" s="18" t="str">
        <x:v>Payment Fees ($)</x:v>
      </x:c>
      <x:c r="Q4" s="18" t="str">
        <x:v>Other Fixed Cost ($)</x:v>
      </x:c>
      <x:c r="R4" s="18" t="str">
        <x:v>Net Income ($)</x:v>
      </x:c>
      <x:c r="S4" s="18" t="str">
        <x:v>Ending Cash ($)</x:v>
      </x:c>
    </x:row>
    <x:row r="5">
      <x:c r="A5" s="14" t="str">
        <x:v>Month 1</x:v>
      </x:c>
      <x:c r="B5" s="78" t="n">
        <x:f>Assumptions!$C$5</x:f>
        <x:v>0</x:v>
      </x:c>
      <x:c r="C5" s="80" t="n">
        <x:f>Assumptions!$C$15</x:f>
        <x:v>1200</x:v>
      </x:c>
      <x:c r="D5" s="52" t="n">
        <x:f>C5/Assumptions!$C$16</x:f>
        <x:v>20</x:v>
      </x:c>
      <x:c r="E5" s="52" t="n">
        <x:f>D5*Assumptions!$C$17</x:f>
        <x:v>2.4</x:v>
      </x:c>
      <x:c r="F5" s="78" t="n">
        <x:f>Assumptions!$C$18</x:f>
        <x:v>0.5</x:v>
      </x:c>
      <x:c r="G5" s="52" t="n">
        <x:f>B5*(Assumptions!$C$14/12)</x:f>
        <x:v>0</x:v>
      </x:c>
      <x:c r="H5" s="52" t="n">
        <x:f>MAX(0,B5+E5+F5-G5)</x:f>
        <x:v>2.9</x:v>
      </x:c>
      <x:c r="I5" s="80" t="n">
        <x:f>H5*Assumptions!$C$11</x:f>
        <x:v>1012.1</x:v>
      </x:c>
      <x:c r="J5" s="80" t="n">
        <x:f>H5*MAX(Assumptions!$C$8-Assumptions!$C$9,0)*Assumptions!$C$12</x:f>
        <x:v>507.5</x:v>
      </x:c>
      <x:c r="K5" s="80" t="n">
        <x:f>(E5+F5)*Assumptions!$C$13</x:f>
        <x:v>725</x:v>
      </x:c>
      <x:c r="L5" s="53" t="n">
        <x:f>SUM(I5:K5)</x:f>
        <x:v>2244.6</x:v>
      </x:c>
      <x:c r="M5" s="14" t="str">
        <x:f>IF(H5&lt;Assumptions!$C$23,"Local Server",IF(H5&lt;Assumptions!$C$24,"Cloud Stage 1","Cloud Stage 2"))</x:f>
        <x:v>Local Server</x:v>
      </x:c>
      <x:c r="N5" s="80" t="n">
        <x:f>IF(M5="Local Server",Assumptions!$C$20,IF(M5="Cloud Stage 1",Assumptions!$C$21+H5*Assumptions!$C$25,Assumptions!$C$22+H5*Assumptions!$C$25))</x:f>
        <x:v>80</x:v>
      </x:c>
      <x:c r="O5" s="80" t="n">
        <x:f>H5*Assumptions!$C$26*Assumptions!$C$27</x:f>
        <x:v>108.74999999999999</x:v>
      </x:c>
      <x:c r="P5" s="80" t="n">
        <x:f>L5*Assumptions!$C$28</x:f>
        <x:v>67.338</x:v>
      </x:c>
      <x:c r="Q5" s="80" t="n">
        <x:f>Assumptions!$C$29</x:f>
        <x:v>150</x:v>
      </x:c>
      <x:c r="R5" s="53" t="n">
        <x:f>L5-SUM(C5,N5:Q5)</x:f>
        <x:v>638.512</x:v>
      </x:c>
      <x:c r="S5" s="72" t="n">
        <x:f>Assumptions!$C$7+R5</x:f>
        <x:v>5638.512</x:v>
      </x:c>
    </x:row>
    <x:row r="6">
      <x:c r="A6" s="14" t="str">
        <x:v>Month 2</x:v>
      </x:c>
      <x:c r="B6" s="78" t="n">
        <x:f>H5</x:f>
        <x:v>2.9</x:v>
      </x:c>
      <x:c r="C6" s="80" t="n">
        <x:f>C5*(1+Assumptions!$C$19)</x:f>
        <x:v>1260</x:v>
      </x:c>
      <x:c r="D6" s="52" t="n">
        <x:f>C6/Assumptions!$C$16</x:f>
        <x:v>21</x:v>
      </x:c>
      <x:c r="E6" s="52" t="n">
        <x:f>D6*Assumptions!$C$17</x:f>
        <x:v>2.52</x:v>
      </x:c>
      <x:c r="F6" s="78" t="n">
        <x:f>Assumptions!$C$18</x:f>
        <x:v>0.5</x:v>
      </x:c>
      <x:c r="G6" s="52" t="n">
        <x:f>B6*(Assumptions!$C$14/12)</x:f>
        <x:v>0.028999999999999998</x:v>
      </x:c>
      <x:c r="H6" s="52" t="n">
        <x:f>MAX(0,B6+E6+F6-G6)</x:f>
        <x:v>5.891</x:v>
      </x:c>
      <x:c r="I6" s="80" t="n">
        <x:f>H6*Assumptions!$C$11</x:f>
        <x:v>2055.959</x:v>
      </x:c>
      <x:c r="J6" s="80" t="n">
        <x:f>H6*MAX(Assumptions!$C$8-Assumptions!$C$9,0)*Assumptions!$C$12</x:f>
        <x:v>1030.925</x:v>
      </x:c>
      <x:c r="K6" s="80" t="n">
        <x:f>(E6+F6)*Assumptions!$C$13</x:f>
        <x:v>755</x:v>
      </x:c>
      <x:c r="L6" s="53" t="n">
        <x:f>SUM(I6:K6)</x:f>
        <x:v>3841.884</x:v>
      </x:c>
      <x:c r="M6" s="14" t="str">
        <x:f>IF(H6&lt;Assumptions!$C$23,"Local Server",IF(H6&lt;Assumptions!$C$24,"Cloud Stage 1","Cloud Stage 2"))</x:f>
        <x:v>Local Server</x:v>
      </x:c>
      <x:c r="N6" s="80" t="n">
        <x:f>IF(M6="Local Server",Assumptions!$C$20,IF(M6="Cloud Stage 1",Assumptions!$C$21+H6*Assumptions!$C$25,Assumptions!$C$22+H6*Assumptions!$C$25))</x:f>
        <x:v>80</x:v>
      </x:c>
      <x:c r="O6" s="80" t="n">
        <x:f>H6*Assumptions!$C$26*Assumptions!$C$27</x:f>
        <x:v>220.91250000000002</x:v>
      </x:c>
      <x:c r="P6" s="80" t="n">
        <x:f>L6*Assumptions!$C$28</x:f>
        <x:v>115.25652</x:v>
      </x:c>
      <x:c r="Q6" s="80" t="n">
        <x:f>Assumptions!$C$29</x:f>
        <x:v>150</x:v>
      </x:c>
      <x:c r="R6" s="53" t="n">
        <x:f>L6-SUM(C6,N6:Q6)</x:f>
        <x:v>2015.71498</x:v>
      </x:c>
      <x:c r="S6" s="42" t="n">
        <x:f>S5+R6</x:f>
        <x:v>7654.2269799999995</x:v>
      </x:c>
    </x:row>
    <x:row r="7">
      <x:c r="A7" s="14" t="str">
        <x:v>Month 3</x:v>
      </x:c>
      <x:c r="B7" s="78" t="n">
        <x:f>H6</x:f>
        <x:v>5.891</x:v>
      </x:c>
      <x:c r="C7" s="80" t="n">
        <x:f>C6*(1+Assumptions!$C$19)</x:f>
        <x:v>1323</x:v>
      </x:c>
      <x:c r="D7" s="52" t="n">
        <x:f>C7/Assumptions!$C$16</x:f>
        <x:v>22.05</x:v>
      </x:c>
      <x:c r="E7" s="52" t="n">
        <x:f>D7*Assumptions!$C$17</x:f>
        <x:v>2.646</x:v>
      </x:c>
      <x:c r="F7" s="78" t="n">
        <x:f>Assumptions!$C$18</x:f>
        <x:v>0.5</x:v>
      </x:c>
      <x:c r="G7" s="52" t="n">
        <x:f>B7*(Assumptions!$C$14/12)</x:f>
        <x:v>0.058910000000000004</x:v>
      </x:c>
      <x:c r="H7" s="52" t="n">
        <x:f>MAX(0,B7+E7+F7-G7)</x:f>
        <x:v>8.97809</x:v>
      </x:c>
      <x:c r="I7" s="80" t="n">
        <x:f>H7*Assumptions!$C$11</x:f>
        <x:v>3133.35341</x:v>
      </x:c>
      <x:c r="J7" s="80" t="n">
        <x:f>H7*MAX(Assumptions!$C$8-Assumptions!$C$9,0)*Assumptions!$C$12</x:f>
        <x:v>1571.1657500000001</x:v>
      </x:c>
      <x:c r="K7" s="80" t="n">
        <x:f>(E7+F7)*Assumptions!$C$13</x:f>
        <x:v>786.5</x:v>
      </x:c>
      <x:c r="L7" s="53" t="n">
        <x:f>SUM(I7:K7)</x:f>
        <x:v>5491.01916</x:v>
      </x:c>
      <x:c r="M7" s="14" t="str">
        <x:f>IF(H7&lt;Assumptions!$C$23,"Local Server",IF(H7&lt;Assumptions!$C$24,"Cloud Stage 1","Cloud Stage 2"))</x:f>
        <x:v>Local Server</x:v>
      </x:c>
      <x:c r="N7" s="80" t="n">
        <x:f>IF(M7="Local Server",Assumptions!$C$20,IF(M7="Cloud Stage 1",Assumptions!$C$21+H7*Assumptions!$C$25,Assumptions!$C$22+H7*Assumptions!$C$25))</x:f>
        <x:v>80</x:v>
      </x:c>
      <x:c r="O7" s="80" t="n">
        <x:f>H7*Assumptions!$C$26*Assumptions!$C$27</x:f>
        <x:v>336.67837499999996</x:v>
      </x:c>
      <x:c r="P7" s="80" t="n">
        <x:f>L7*Assumptions!$C$28</x:f>
        <x:v>164.7305748</x:v>
      </x:c>
      <x:c r="Q7" s="80" t="n">
        <x:f>Assumptions!$C$29</x:f>
        <x:v>150</x:v>
      </x:c>
      <x:c r="R7" s="53" t="n">
        <x:f>L7-SUM(C7,N7:Q7)</x:f>
        <x:v>3436.6102102</x:v>
      </x:c>
      <x:c r="S7" s="42" t="n">
        <x:f>S6+R7</x:f>
        <x:v>11090.8371902</x:v>
      </x:c>
    </x:row>
    <x:row r="8">
      <x:c r="A8" s="14" t="str">
        <x:v>Month 4</x:v>
      </x:c>
      <x:c r="B8" s="78" t="n">
        <x:f>H7</x:f>
        <x:v>8.97809</x:v>
      </x:c>
      <x:c r="C8" s="80" t="n">
        <x:f>C7*(1+Assumptions!$C$19)</x:f>
        <x:v>1389.15</x:v>
      </x:c>
      <x:c r="D8" s="52" t="n">
        <x:f>C8/Assumptions!$C$16</x:f>
        <x:v>23.1525</x:v>
      </x:c>
      <x:c r="E8" s="52" t="n">
        <x:f>D8*Assumptions!$C$17</x:f>
        <x:v>2.7782999999999998</x:v>
      </x:c>
      <x:c r="F8" s="78" t="n">
        <x:f>Assumptions!$C$18</x:f>
        <x:v>0.5</x:v>
      </x:c>
      <x:c r="G8" s="52" t="n">
        <x:f>B8*(Assumptions!$C$14/12)</x:f>
        <x:v>0.0897809</x:v>
      </x:c>
      <x:c r="H8" s="52" t="n">
        <x:f>MAX(0,B8+E8+F8-G8)</x:f>
        <x:v>12.1666091</x:v>
      </x:c>
      <x:c r="I8" s="80" t="n">
        <x:f>H8*Assumptions!$C$11</x:f>
        <x:v>4246.1465759</x:v>
      </x:c>
      <x:c r="J8" s="80" t="n">
        <x:f>H8*MAX(Assumptions!$C$8-Assumptions!$C$9,0)*Assumptions!$C$12</x:f>
        <x:v>2129.1565925</x:v>
      </x:c>
      <x:c r="K8" s="80" t="n">
        <x:f>(E8+F8)*Assumptions!$C$13</x:f>
        <x:v>819.5749999999999</x:v>
      </x:c>
      <x:c r="L8" s="53" t="n">
        <x:f>SUM(I8:K8)</x:f>
        <x:v>7194.8781684</x:v>
      </x:c>
      <x:c r="M8" s="14" t="str">
        <x:f>IF(H8&lt;Assumptions!$C$23,"Local Server",IF(H8&lt;Assumptions!$C$24,"Cloud Stage 1","Cloud Stage 2"))</x:f>
        <x:v>Local Server</x:v>
      </x:c>
      <x:c r="N8" s="80" t="n">
        <x:f>IF(M8="Local Server",Assumptions!$C$20,IF(M8="Cloud Stage 1",Assumptions!$C$21+H8*Assumptions!$C$25,Assumptions!$C$22+H8*Assumptions!$C$25))</x:f>
        <x:v>80</x:v>
      </x:c>
      <x:c r="O8" s="80" t="n">
        <x:f>H8*Assumptions!$C$26*Assumptions!$C$27</x:f>
        <x:v>456.24784125</x:v>
      </x:c>
      <x:c r="P8" s="80" t="n">
        <x:f>L8*Assumptions!$C$28</x:f>
        <x:v>215.84634505199998</x:v>
      </x:c>
      <x:c r="Q8" s="80" t="n">
        <x:f>Assumptions!$C$29</x:f>
        <x:v>150</x:v>
      </x:c>
      <x:c r="R8" s="53" t="n">
        <x:f>L8-SUM(C8,N8:Q8)</x:f>
        <x:v>4903.633982097999</x:v>
      </x:c>
      <x:c r="S8" s="42" t="n">
        <x:f>S7+R8</x:f>
        <x:v>15994.471172298</x:v>
      </x:c>
    </x:row>
    <x:row r="9">
      <x:c r="A9" s="14" t="str">
        <x:v>Month 5</x:v>
      </x:c>
      <x:c r="B9" s="78" t="n">
        <x:f>H8</x:f>
        <x:v>12.1666091</x:v>
      </x:c>
      <x:c r="C9" s="80" t="n">
        <x:f>C8*(1+Assumptions!$C$19)</x:f>
        <x:v>1458.6075</x:v>
      </x:c>
      <x:c r="D9" s="52" t="n">
        <x:f>C9/Assumptions!$C$16</x:f>
        <x:v>24.310125000000003</x:v>
      </x:c>
      <x:c r="E9" s="52" t="n">
        <x:f>D9*Assumptions!$C$17</x:f>
        <x:v>2.917215</x:v>
      </x:c>
      <x:c r="F9" s="78" t="n">
        <x:f>Assumptions!$C$18</x:f>
        <x:v>0.5</x:v>
      </x:c>
      <x:c r="G9" s="52" t="n">
        <x:f>B9*(Assumptions!$C$14/12)</x:f>
        <x:v>0.121666091</x:v>
      </x:c>
      <x:c r="H9" s="52" t="n">
        <x:f>MAX(0,B9+E9+F9-G9)</x:f>
        <x:v>15.462158009000001</x:v>
      </x:c>
      <x:c r="I9" s="80" t="n">
        <x:f>H9*Assumptions!$C$11</x:f>
        <x:v>5396.293145141</x:v>
      </x:c>
      <x:c r="J9" s="80" t="n">
        <x:f>H9*MAX(Assumptions!$C$8-Assumptions!$C$9,0)*Assumptions!$C$12</x:f>
        <x:v>2705.877651575</x:v>
      </x:c>
      <x:c r="K9" s="80" t="n">
        <x:f>(E9+F9)*Assumptions!$C$13</x:f>
        <x:v>854.30375</x:v>
      </x:c>
      <x:c r="L9" s="53" t="n">
        <x:f>SUM(I9:K9)</x:f>
        <x:v>8956.474546716</x:v>
      </x:c>
      <x:c r="M9" s="14" t="str">
        <x:f>IF(H9&lt;Assumptions!$C$23,"Local Server",IF(H9&lt;Assumptions!$C$24,"Cloud Stage 1","Cloud Stage 2"))</x:f>
        <x:v>Cloud Stage 1</x:v>
      </x:c>
      <x:c r="N9" s="80" t="n">
        <x:f>IF(M9="Local Server",Assumptions!$C$20,IF(M9="Cloud Stage 1",Assumptions!$C$21+H9*Assumptions!$C$25,Assumptions!$C$22+H9*Assumptions!$C$25))</x:f>
        <x:v>373.697264072</x:v>
      </x:c>
      <x:c r="O9" s="80" t="n">
        <x:f>H9*Assumptions!$C$26*Assumptions!$C$27</x:f>
        <x:v>579.8309253375</x:v>
      </x:c>
      <x:c r="P9" s="80" t="n">
        <x:f>L9*Assumptions!$C$28</x:f>
        <x:v>268.69423640147994</x:v>
      </x:c>
      <x:c r="Q9" s="80" t="n">
        <x:f>Assumptions!$C$29</x:f>
        <x:v>150</x:v>
      </x:c>
      <x:c r="R9" s="53" t="n">
        <x:f>L9-SUM(C9,N9:Q9)</x:f>
        <x:v>6125.644620905019</x:v>
      </x:c>
      <x:c r="S9" s="42" t="n">
        <x:f>S8+R9</x:f>
        <x:v>22120.11579320302</x:v>
      </x:c>
    </x:row>
    <x:row r="10">
      <x:c r="A10" s="14" t="str">
        <x:v>Month 6</x:v>
      </x:c>
      <x:c r="B10" s="78" t="n">
        <x:f>H9</x:f>
        <x:v>15.462158009000001</x:v>
      </x:c>
      <x:c r="C10" s="80" t="n">
        <x:f>C9*(1+Assumptions!$C$19)</x:f>
        <x:v>1531.5378750000002</x:v>
      </x:c>
      <x:c r="D10" s="52" t="n">
        <x:f>C10/Assumptions!$C$16</x:f>
        <x:v>25.525631250000004</x:v>
      </x:c>
      <x:c r="E10" s="52" t="n">
        <x:f>D10*Assumptions!$C$17</x:f>
        <x:v>3.0630757500000003</x:v>
      </x:c>
      <x:c r="F10" s="78" t="n">
        <x:f>Assumptions!$C$18</x:f>
        <x:v>0.5</x:v>
      </x:c>
      <x:c r="G10" s="52" t="n">
        <x:f>B10*(Assumptions!$C$14/12)</x:f>
        <x:v>0.15462158009000002</x:v>
      </x:c>
      <x:c r="H10" s="52" t="n">
        <x:f>MAX(0,B10+E10+F10-G10)</x:f>
        <x:v>18.87061217891</x:v>
      </x:c>
      <x:c r="I10" s="80" t="n">
        <x:f>H10*Assumptions!$C$11</x:f>
        <x:v>6585.84365043959</x:v>
      </x:c>
      <x:c r="J10" s="80" t="n">
        <x:f>H10*MAX(Assumptions!$C$8-Assumptions!$C$9,0)*Assumptions!$C$12</x:f>
        <x:v>3302.35713130925</x:v>
      </x:c>
      <x:c r="K10" s="80" t="n">
        <x:f>(E10+F10)*Assumptions!$C$13</x:f>
        <x:v>890.7689375000001</x:v>
      </x:c>
      <x:c r="L10" s="53" t="n">
        <x:f>SUM(I10:K10)</x:f>
        <x:v>10778.969719248842</x:v>
      </x:c>
      <x:c r="M10" s="14" t="str">
        <x:f>IF(H10&lt;Assumptions!$C$23,"Local Server",IF(H10&lt;Assumptions!$C$24,"Cloud Stage 1","Cloud Stage 2"))</x:f>
        <x:v>Cloud Stage 1</x:v>
      </x:c>
      <x:c r="N10" s="80" t="n">
        <x:f>IF(M10="Local Server",Assumptions!$C$20,IF(M10="Cloud Stage 1",Assumptions!$C$21+H10*Assumptions!$C$25,Assumptions!$C$22+H10*Assumptions!$C$25))</x:f>
        <x:v>400.96489743128</x:v>
      </x:c>
      <x:c r="O10" s="80" t="n">
        <x:f>H10*Assumptions!$C$26*Assumptions!$C$27</x:f>
        <x:v>707.6479567091251</x:v>
      </x:c>
      <x:c r="P10" s="80" t="n">
        <x:f>L10*Assumptions!$C$28</x:f>
        <x:v>323.36909157746527</x:v>
      </x:c>
      <x:c r="Q10" s="80" t="n">
        <x:f>Assumptions!$C$29</x:f>
        <x:v>150</x:v>
      </x:c>
      <x:c r="R10" s="53" t="n">
        <x:f>L10-SUM(C10,N10:Q10)</x:f>
        <x:v>7665.449898530971</x:v>
      </x:c>
      <x:c r="S10" s="42" t="n">
        <x:f>S9+R10</x:f>
        <x:v>29785.565691733987</x:v>
      </x:c>
    </x:row>
    <x:row r="11">
      <x:c r="A11" s="14" t="str">
        <x:v>Month 7</x:v>
      </x:c>
      <x:c r="B11" s="78" t="n">
        <x:f>H10</x:f>
        <x:v>18.87061217891</x:v>
      </x:c>
      <x:c r="C11" s="80" t="n">
        <x:f>C10*(1+Assumptions!$C$19)</x:f>
        <x:v>1608.1147687500004</x:v>
      </x:c>
      <x:c r="D11" s="52" t="n">
        <x:f>C11/Assumptions!$C$16</x:f>
        <x:v>26.801912812500007</x:v>
      </x:c>
      <x:c r="E11" s="52" t="n">
        <x:f>D11*Assumptions!$C$17</x:f>
        <x:v>3.2162295375000007</x:v>
      </x:c>
      <x:c r="F11" s="78" t="n">
        <x:f>Assumptions!$C$18</x:f>
        <x:v>0.5</x:v>
      </x:c>
      <x:c r="G11" s="52" t="n">
        <x:f>B11*(Assumptions!$C$14/12)</x:f>
        <x:v>0.1887061217891</x:v>
      </x:c>
      <x:c r="H11" s="52" t="n">
        <x:f>MAX(0,B11+E11+F11-G11)</x:f>
        <x:v>22.398135594620904</x:v>
      </x:c>
      <x:c r="I11" s="80" t="n">
        <x:f>H11*Assumptions!$C$11</x:f>
        <x:v>7816.949322522695</x:v>
      </x:c>
      <x:c r="J11" s="80" t="n">
        <x:f>H11*MAX(Assumptions!$C$8-Assumptions!$C$9,0)*Assumptions!$C$12</x:f>
        <x:v>3919.673729058658</x:v>
      </x:c>
      <x:c r="K11" s="80" t="n">
        <x:f>(E11+F11)*Assumptions!$C$13</x:f>
        <x:v>929.0573843750002</x:v>
      </x:c>
      <x:c r="L11" s="53" t="n">
        <x:f>SUM(I11:K11)</x:f>
        <x:v>12665.680435956354</x:v>
      </x:c>
      <x:c r="M11" s="14" t="str">
        <x:f>IF(H11&lt;Assumptions!$C$23,"Local Server",IF(H11&lt;Assumptions!$C$24,"Cloud Stage 1","Cloud Stage 2"))</x:f>
        <x:v>Cloud Stage 1</x:v>
      </x:c>
      <x:c r="N11" s="80" t="n">
        <x:f>IF(M11="Local Server",Assumptions!$C$20,IF(M11="Cloud Stage 1",Assumptions!$C$21+H11*Assumptions!$C$25,Assumptions!$C$22+H11*Assumptions!$C$25))</x:f>
        <x:v>429.1850847569672</x:v>
      </x:c>
      <x:c r="O11" s="80" t="n">
        <x:f>H11*Assumptions!$C$26*Assumptions!$C$27</x:f>
        <x:v>839.9300847982839</x:v>
      </x:c>
      <x:c r="P11" s="80" t="n">
        <x:f>L11*Assumptions!$C$28</x:f>
        <x:v>379.9704130786906</x:v>
      </x:c>
      <x:c r="Q11" s="80" t="n">
        <x:f>Assumptions!$C$29</x:f>
        <x:v>150</x:v>
      </x:c>
      <x:c r="R11" s="53" t="n">
        <x:f>L11-SUM(C11,N11:Q11)</x:f>
        <x:v>9258.480084572411</x:v>
      </x:c>
      <x:c r="S11" s="42" t="n">
        <x:f>S10+R11</x:f>
        <x:v>39044.0457763064</x:v>
      </x:c>
    </x:row>
    <x:row r="12">
      <x:c r="A12" s="14" t="str">
        <x:v>Month 8</x:v>
      </x:c>
      <x:c r="B12" s="78" t="n">
        <x:f>H11</x:f>
        <x:v>22.398135594620904</x:v>
      </x:c>
      <x:c r="C12" s="80" t="n">
        <x:f>C11*(1+Assumptions!$C$19)</x:f>
        <x:v>1688.5205071875005</x:v>
      </x:c>
      <x:c r="D12" s="52" t="n">
        <x:f>C12/Assumptions!$C$16</x:f>
        <x:v>28.14200845312501</x:v>
      </x:c>
      <x:c r="E12" s="52" t="n">
        <x:f>D12*Assumptions!$C$17</x:f>
        <x:v>3.377041014375001</x:v>
      </x:c>
      <x:c r="F12" s="78" t="n">
        <x:f>Assumptions!$C$18</x:f>
        <x:v>0.5</x:v>
      </x:c>
      <x:c r="G12" s="52" t="n">
        <x:f>B12*(Assumptions!$C$14/12)</x:f>
        <x:v>0.22398135594620905</x:v>
      </x:c>
      <x:c r="H12" s="52" t="n">
        <x:f>MAX(0,B12+E12+F12-G12)</x:f>
        <x:v>26.0511952530497</x:v>
      </x:c>
      <x:c r="I12" s="80" t="n">
        <x:f>H12*Assumptions!$C$11</x:f>
        <x:v>9091.867143314345</x:v>
      </x:c>
      <x:c r="J12" s="80" t="n">
        <x:f>H12*MAX(Assumptions!$C$8-Assumptions!$C$9,0)*Assumptions!$C$12</x:f>
        <x:v>4558.959169283697</x:v>
      </x:c>
      <x:c r="K12" s="80" t="n">
        <x:f>(E12+F12)*Assumptions!$C$13</x:f>
        <x:v>969.2602535937502</x:v>
      </x:c>
      <x:c r="L12" s="53" t="n">
        <x:f>SUM(I12:K12)</x:f>
        <x:v>14620.08656619179</x:v>
      </x:c>
      <x:c r="M12" s="14" t="str">
        <x:f>IF(H12&lt;Assumptions!$C$23,"Local Server",IF(H12&lt;Assumptions!$C$24,"Cloud Stage 1","Cloud Stage 2"))</x:f>
        <x:v>Cloud Stage 1</x:v>
      </x:c>
      <x:c r="N12" s="80" t="n">
        <x:f>IF(M12="Local Server",Assumptions!$C$20,IF(M12="Cloud Stage 1",Assumptions!$C$21+H12*Assumptions!$C$25,Assumptions!$C$22+H12*Assumptions!$C$25))</x:f>
        <x:v>458.4095620243976</x:v>
      </x:c>
      <x:c r="O12" s="80" t="n">
        <x:f>H12*Assumptions!$C$26*Assumptions!$C$27</x:f>
        <x:v>976.9198219893636</x:v>
      </x:c>
      <x:c r="P12" s="80" t="n">
        <x:f>L12*Assumptions!$C$28</x:f>
        <x:v>438.6025969857537</x:v>
      </x:c>
      <x:c r="Q12" s="80" t="n">
        <x:f>Assumptions!$C$29</x:f>
        <x:v>150</x:v>
      </x:c>
      <x:c r="R12" s="53" t="n">
        <x:f>L12-SUM(C12,N12:Q12)</x:f>
        <x:v>10907.634078004776</x:v>
      </x:c>
      <x:c r="S12" s="42" t="n">
        <x:f>S11+R12</x:f>
        <x:v>49951.67985431117</x:v>
      </x:c>
    </x:row>
    <x:row r="13">
      <x:c r="A13" s="14" t="str">
        <x:v>Month 9</x:v>
      </x:c>
      <x:c r="B13" s="78" t="n">
        <x:f>H12</x:f>
        <x:v>26.0511952530497</x:v>
      </x:c>
      <x:c r="C13" s="80" t="n">
        <x:f>C12*(1+Assumptions!$C$19)</x:f>
        <x:v>1772.9465325468755</x:v>
      </x:c>
      <x:c r="D13" s="52" t="n">
        <x:f>C13/Assumptions!$C$16</x:f>
        <x:v>29.549108875781258</x:v>
      </x:c>
      <x:c r="E13" s="52" t="n">
        <x:f>D13*Assumptions!$C$17</x:f>
        <x:v>3.545893065093751</x:v>
      </x:c>
      <x:c r="F13" s="78" t="n">
        <x:f>Assumptions!$C$18</x:f>
        <x:v>0.5</x:v>
      </x:c>
      <x:c r="G13" s="52" t="n">
        <x:f>B13*(Assumptions!$C$14/12)</x:f>
        <x:v>0.26051195253049697</x:v>
      </x:c>
      <x:c r="H13" s="52" t="n">
        <x:f>MAX(0,B13+E13+F13-G13)</x:f>
        <x:v>29.836576365612952</x:v>
      </x:c>
      <x:c r="I13" s="80" t="n">
        <x:f>H13*Assumptions!$C$11</x:f>
        <x:v>10412.96515159892</x:v>
      </x:c>
      <x:c r="J13" s="80" t="n">
        <x:f>H13*MAX(Assumptions!$C$8-Assumptions!$C$9,0)*Assumptions!$C$12</x:f>
        <x:v>5221.400863982266</x:v>
      </x:c>
      <x:c r="K13" s="80" t="n">
        <x:f>(E13+F13)*Assumptions!$C$13</x:f>
        <x:v>1011.4732662734376</x:v>
      </x:c>
      <x:c r="L13" s="53" t="n">
        <x:f>SUM(I13:K13)</x:f>
        <x:v>16645.839281854624</x:v>
      </x:c>
      <x:c r="M13" s="14" t="str">
        <x:f>IF(H13&lt;Assumptions!$C$23,"Local Server",IF(H13&lt;Assumptions!$C$24,"Cloud Stage 1","Cloud Stage 2"))</x:f>
        <x:v>Cloud Stage 1</x:v>
      </x:c>
      <x:c r="N13" s="80" t="n">
        <x:f>IF(M13="Local Server",Assumptions!$C$20,IF(M13="Cloud Stage 1",Assumptions!$C$21+H13*Assumptions!$C$25,Assumptions!$C$22+H13*Assumptions!$C$25))</x:f>
        <x:v>488.69261092490365</x:v>
      </x:c>
      <x:c r="O13" s="80" t="n">
        <x:f>H13*Assumptions!$C$26*Assumptions!$C$27</x:f>
        <x:v>1118.8716137104857</x:v>
      </x:c>
      <x:c r="P13" s="80" t="n">
        <x:f>L13*Assumptions!$C$28</x:f>
        <x:v>499.37517845563866</x:v>
      </x:c>
      <x:c r="Q13" s="80" t="n">
        <x:f>Assumptions!$C$29</x:f>
        <x:v>150</x:v>
      </x:c>
      <x:c r="R13" s="53" t="n">
        <x:f>L13-SUM(C13,N13:Q13)</x:f>
        <x:v>12615.95334621672</x:v>
      </x:c>
      <x:c r="S13" s="42" t="n">
        <x:f>S12+R13</x:f>
        <x:v>62567.6332005279</x:v>
      </x:c>
    </x:row>
    <x:row r="14">
      <x:c r="A14" s="14" t="str">
        <x:v>Month 10</x:v>
      </x:c>
      <x:c r="B14" s="78" t="n">
        <x:f>H13</x:f>
        <x:v>29.836576365612952</x:v>
      </x:c>
      <x:c r="C14" s="80" t="n">
        <x:f>C13*(1+Assumptions!$C$19)</x:f>
        <x:v>1861.5938591742192</x:v>
      </x:c>
      <x:c r="D14" s="52" t="n">
        <x:f>C14/Assumptions!$C$16</x:f>
        <x:v>31.02656431957032</x:v>
      </x:c>
      <x:c r="E14" s="52" t="n">
        <x:f>D14*Assumptions!$C$17</x:f>
        <x:v>3.7231877183484383</x:v>
      </x:c>
      <x:c r="F14" s="78" t="n">
        <x:f>Assumptions!$C$18</x:f>
        <x:v>0.5</x:v>
      </x:c>
      <x:c r="G14" s="52" t="n">
        <x:f>B14*(Assumptions!$C$14/12)</x:f>
        <x:v>0.29836576365612955</x:v>
      </x:c>
      <x:c r="H14" s="52" t="n">
        <x:f>MAX(0,B14+E14+F14-G14)</x:f>
        <x:v>33.76139832030526</x:v>
      </x:c>
      <x:c r="I14" s="80" t="n">
        <x:f>H14*Assumptions!$C$11</x:f>
        <x:v>11782.728013786536</x:v>
      </x:c>
      <x:c r="J14" s="80" t="n">
        <x:f>H14*MAX(Assumptions!$C$8-Assumptions!$C$9,0)*Assumptions!$C$12</x:f>
        <x:v>5908.2447060534205</x:v>
      </x:c>
      <x:c r="K14" s="80" t="n">
        <x:f>(E14+F14)*Assumptions!$C$13</x:f>
        <x:v>1055.7969295871094</x:v>
      </x:c>
      <x:c r="L14" s="53" t="n">
        <x:f>SUM(I14:K14)</x:f>
        <x:v>18746.769649427064</x:v>
      </x:c>
      <x:c r="M14" s="14" t="str">
        <x:f>IF(H14&lt;Assumptions!$C$23,"Local Server",IF(H14&lt;Assumptions!$C$24,"Cloud Stage 1","Cloud Stage 2"))</x:f>
        <x:v>Cloud Stage 1</x:v>
      </x:c>
      <x:c r="N14" s="80" t="n">
        <x:f>IF(M14="Local Server",Assumptions!$C$20,IF(M14="Cloud Stage 1",Assumptions!$C$21+H14*Assumptions!$C$25,Assumptions!$C$22+H14*Assumptions!$C$25))</x:f>
        <x:v>520.0911865624421</x:v>
      </x:c>
      <x:c r="O14" s="80" t="n">
        <x:f>H14*Assumptions!$C$26*Assumptions!$C$27</x:f>
        <x:v>1266.0524370114472</x:v>
      </x:c>
      <x:c r="P14" s="80" t="n">
        <x:f>L14*Assumptions!$C$28</x:f>
        <x:v>562.4030894828119</x:v>
      </x:c>
      <x:c r="Q14" s="80" t="n">
        <x:f>Assumptions!$C$29</x:f>
        <x:v>150</x:v>
      </x:c>
      <x:c r="R14" s="53" t="n">
        <x:f>L14-SUM(C14,N14:Q14)</x:f>
        <x:v>14386.629077196143</x:v>
      </x:c>
      <x:c r="S14" s="42" t="n">
        <x:f>S13+R14</x:f>
        <x:v>76954.26227772405</x:v>
      </x:c>
    </x:row>
    <x:row r="15">
      <x:c r="A15" s="14" t="str">
        <x:v>Month 11</x:v>
      </x:c>
      <x:c r="B15" s="78" t="n">
        <x:f>H14</x:f>
        <x:v>33.76139832030526</x:v>
      </x:c>
      <x:c r="C15" s="80" t="n">
        <x:f>C14*(1+Assumptions!$C$19)</x:f>
        <x:v>1954.6735521329304</x:v>
      </x:c>
      <x:c r="D15" s="52" t="n">
        <x:f>C15/Assumptions!$C$16</x:f>
        <x:v>32.57789253554884</x:v>
      </x:c>
      <x:c r="E15" s="52" t="n">
        <x:f>D15*Assumptions!$C$17</x:f>
        <x:v>3.9093471042658607</x:v>
      </x:c>
      <x:c r="F15" s="78" t="n">
        <x:f>Assumptions!$C$18</x:f>
        <x:v>0.5</x:v>
      </x:c>
      <x:c r="G15" s="52" t="n">
        <x:f>B15*(Assumptions!$C$14/12)</x:f>
        <x:v>0.33761398320305264</x:v>
      </x:c>
      <x:c r="H15" s="52" t="n">
        <x:f>MAX(0,B15+E15+F15-G15)</x:f>
        <x:v>37.83313144136807</x:v>
      </x:c>
      <x:c r="I15" s="80" t="n">
        <x:f>H15*Assumptions!$C$11</x:f>
        <x:v>13203.762873037456</x:v>
      </x:c>
      <x:c r="J15" s="80" t="n">
        <x:f>H15*MAX(Assumptions!$C$8-Assumptions!$C$9,0)*Assumptions!$C$12</x:f>
        <x:v>6620.798002239412</x:v>
      </x:c>
      <x:c r="K15" s="80" t="n">
        <x:f>(E15+F15)*Assumptions!$C$13</x:f>
        <x:v>1102.336776066465</x:v>
      </x:c>
      <x:c r="L15" s="53" t="n">
        <x:f>SUM(I15:K15)</x:f>
        <x:v>20926.897651343334</x:v>
      </x:c>
      <x:c r="M15" s="14" t="str">
        <x:f>IF(H15&lt;Assumptions!$C$23,"Local Server",IF(H15&lt;Assumptions!$C$24,"Cloud Stage 1","Cloud Stage 2"))</x:f>
        <x:v>Cloud Stage 1</x:v>
      </x:c>
      <x:c r="N15" s="80" t="n">
        <x:f>IF(M15="Local Server",Assumptions!$C$20,IF(M15="Cloud Stage 1",Assumptions!$C$21+H15*Assumptions!$C$25,Assumptions!$C$22+H15*Assumptions!$C$25))</x:f>
        <x:v>552.6650515309445</x:v>
      </x:c>
      <x:c r="O15" s="80" t="n">
        <x:f>H15*Assumptions!$C$26*Assumptions!$C$27</x:f>
        <x:v>1418.7424290513025</x:v>
      </x:c>
      <x:c r="P15" s="80" t="n">
        <x:f>L15*Assumptions!$C$28</x:f>
        <x:v>627.8069295403</x:v>
      </x:c>
      <x:c r="Q15" s="80" t="n">
        <x:f>Assumptions!$C$29</x:f>
        <x:v>150</x:v>
      </x:c>
      <x:c r="R15" s="53" t="n">
        <x:f>L15-SUM(C15,N15:Q15)</x:f>
        <x:v>16223.009689087856</x:v>
      </x:c>
      <x:c r="S15" s="42" t="n">
        <x:f>S14+R15</x:f>
        <x:v>93177.27196681191</x:v>
      </x:c>
    </x:row>
    <x:row r="16">
      <x:c r="A16" s="14" t="str">
        <x:v>Month 12</x:v>
      </x:c>
      <x:c r="B16" s="78" t="n">
        <x:f>H15</x:f>
        <x:v>37.83313144136807</x:v>
      </x:c>
      <x:c r="C16" s="80" t="n">
        <x:f>C15*(1+Assumptions!$C$19)</x:f>
        <x:v>2052.407229739577</x:v>
      </x:c>
      <x:c r="D16" s="52" t="n">
        <x:f>C16/Assumptions!$C$16</x:f>
        <x:v>34.20678716232628</x:v>
      </x:c>
      <x:c r="E16" s="52" t="n">
        <x:f>D16*Assumptions!$C$17</x:f>
        <x:v>4.104814459479154</x:v>
      </x:c>
      <x:c r="F16" s="78" t="n">
        <x:f>Assumptions!$C$18</x:f>
        <x:v>0.5</x:v>
      </x:c>
      <x:c r="G16" s="52" t="n">
        <x:f>B16*(Assumptions!$C$14/12)</x:f>
        <x:v>0.3783313144136807</x:v>
      </x:c>
      <x:c r="H16" s="52" t="n">
        <x:f>MAX(0,B16+E16+F16-G16)</x:f>
        <x:v>42.05961458643354</x:v>
      </x:c>
      <x:c r="I16" s="80" t="n">
        <x:f>H16*Assumptions!$C$11</x:f>
        <x:v>14678.805490665305</x:v>
      </x:c>
      <x:c r="J16" s="80" t="n">
        <x:f>H16*MAX(Assumptions!$C$8-Assumptions!$C$9,0)*Assumptions!$C$12</x:f>
        <x:v>7360.43255262587</x:v>
      </x:c>
      <x:c r="K16" s="80" t="n">
        <x:f>(E16+F16)*Assumptions!$C$13</x:f>
        <x:v>1151.2036148697885</x:v>
      </x:c>
      <x:c r="L16" s="53" t="n">
        <x:f>SUM(I16:K16)</x:f>
        <x:v>23190.441658160962</x:v>
      </x:c>
      <x:c r="M16" s="14" t="str">
        <x:f>IF(H16&lt;Assumptions!$C$23,"Local Server",IF(H16&lt;Assumptions!$C$24,"Cloud Stage 1","Cloud Stage 2"))</x:f>
        <x:v>Cloud Stage 1</x:v>
      </x:c>
      <x:c r="N16" s="80" t="n">
        <x:f>IF(M16="Local Server",Assumptions!$C$20,IF(M16="Cloud Stage 1",Assumptions!$C$21+H16*Assumptions!$C$25,Assumptions!$C$22+H16*Assumptions!$C$25))</x:f>
        <x:v>586.4769166914683</x:v>
      </x:c>
      <x:c r="O16" s="80" t="n">
        <x:f>H16*Assumptions!$C$26*Assumptions!$C$27</x:f>
        <x:v>1577.2355469912577</x:v>
      </x:c>
      <x:c r="P16" s="80" t="n">
        <x:f>L16*Assumptions!$C$28</x:f>
        <x:v>695.7132497448289</x:v>
      </x:c>
      <x:c r="Q16" s="80" t="n">
        <x:f>Assumptions!$C$29</x:f>
        <x:v>150</x:v>
      </x:c>
      <x:c r="R16" s="53" t="n">
        <x:f>L16-SUM(C16,N16:Q16)</x:f>
        <x:v>18128.608714993832</x:v>
      </x:c>
      <x:c r="S16" s="42" t="n">
        <x:f>S15+R16</x:f>
        <x:v>111305.88068180575</x:v>
      </x:c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54" t="str">
        <x:v>12-Month Total</x:v>
      </x:c>
      <x:c r="B18" s="54" t="str"/>
      <x:c r="C18" s="55" t="n">
        <x:f>SUM(C5:C16)</x:f>
        <x:v>19100.551824531103</x:v>
      </x:c>
      <x:c r="D18" s="54" t="str"/>
      <x:c r="E18" s="54" t="str"/>
      <x:c r="F18" s="54" t="str"/>
      <x:c r="G18" s="54" t="str"/>
      <x:c r="H18" s="54" t="str"/>
      <x:c r="I18" s="54" t="str"/>
      <x:c r="J18" s="54" t="str"/>
      <x:c r="K18" s="54" t="str"/>
      <x:c r="L18" s="55" t="n">
        <x:f>SUM(L5:L16)</x:f>
        <x:v>145303.54083729896</x:v>
      </x:c>
      <x:c r="M18" s="54" t="str"/>
      <x:c r="N18" s="54" t="str"/>
      <x:c r="O18" s="54" t="str"/>
      <x:c r="P18" s="54" t="str"/>
      <x:c r="Q18" s="54" t="str"/>
      <x:c r="R18" s="55" t="n">
        <x:f>SUM(R5:R16)</x:f>
        <x:v>106305.88068180575</x:v>
      </x:c>
      <x:c r="S18" s="50" t="n">
        <x:f>S16</x:f>
        <x:v>111305.88068180575</x:v>
      </x:c>
    </x:row>
  </x:sheetData>
  <x:mergeCells>
    <x:mergeCell ref="A1:R1"/>
    <x:mergeCell ref="A2:R3"/>
  </x:mergeCells>
  <x:conditionalFormatting sqref="R5:R16">
    <x:cfRule type="expression" dxfId="0" priority="1">
      <x:formula>R5&lt;0</x:formula>
    </x:cfRule>
    <x:cfRule type="expression" dxfId="1" priority="2">
      <x:formula>R5&gt;=0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Pricing Scenario Comparison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Synthetic what-if pricing only. These are not published SyntraTech prices; they are classroom assumptions.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8" t="str">
        <x:v>Scenario</x:v>
      </x:c>
      <x:c r="B4" s="18" t="str">
        <x:v>Base Price ($/mo)</x:v>
      </x:c>
      <x:c r="C4" s="18" t="str">
        <x:v>Included Managers</x:v>
      </x:c>
      <x:c r="D4" s="18" t="str">
        <x:v>Extra Manager Fee ($/mo)</x:v>
      </x:c>
      <x:c r="E4" s="18" t="str">
        <x:v>Onboarding Fee ($)</x:v>
      </x:c>
      <x:c r="F4" s="18" t="str">
        <x:v>Test Customers</x:v>
      </x:c>
      <x:c r="G4" s="18" t="str">
        <x:v>Avg Managers</x:v>
      </x:c>
      <x:c r="H4" s="18" t="str">
        <x:v>Recurring Revenue ($/mo)</x:v>
      </x:c>
      <x:c r="I4" s="18" t="str">
        <x:v>Est. Variable Cost ($/mo)</x:v>
      </x:c>
      <x:c r="J4" s="18" t="str">
        <x:v>Est. Contribution ($/mo)</x:v>
      </x:c>
    </x:row>
    <x:row r="5">
      <x:c r="A5" s="14" t="str">
        <x:v>Entry</x:v>
      </x:c>
      <x:c r="B5" s="35" t="n">
        <x:v>249</x:v>
      </x:c>
      <x:c r="C5" s="60" t="n">
        <x:v>2</x:v>
      </x:c>
      <x:c r="D5" s="35" t="n">
        <x:v>39</x:v>
      </x:c>
      <x:c r="E5" s="35" t="n">
        <x:v>199</x:v>
      </x:c>
      <x:c r="F5" s="60" t="n">
        <x:v>10</x:v>
      </x:c>
      <x:c r="G5" s="60" t="n">
        <x:v>8</x:v>
      </x:c>
      <x:c r="H5" s="53" t="n">
        <x:f>F5*(B5+MAX(G5-C5,0)*D5)</x:f>
        <x:v>4830</x:v>
      </x:c>
      <x:c r="I5" s="53" t="n">
        <x:f>F5*(Assumptions!$C$25+Assumptions!$C$26*Assumptions!$C$27)+H5*Assumptions!$C$28</x:f>
        <x:v>599.9</x:v>
      </x:c>
      <x:c r="J5" s="53" t="n">
        <x:f>H5-I5</x:f>
        <x:v>4230.1</x:v>
      </x:c>
    </x:row>
    <x:row r="6">
      <x:c r="A6" s="14" t="str">
        <x:v>Core</x:v>
      </x:c>
      <x:c r="B6" s="35" t="n">
        <x:v>349</x:v>
      </x:c>
      <x:c r="C6" s="60" t="n">
        <x:v>3</x:v>
      </x:c>
      <x:c r="D6" s="35" t="n">
        <x:v>35</x:v>
      </x:c>
      <x:c r="E6" s="35" t="n">
        <x:v>250</x:v>
      </x:c>
      <x:c r="F6" s="60" t="n">
        <x:v>10</x:v>
      </x:c>
      <x:c r="G6" s="60" t="n">
        <x:v>8</x:v>
      </x:c>
      <x:c r="H6" s="53" t="n">
        <x:f>F6*(B6+MAX(G6-C6,0)*D6)</x:f>
        <x:v>5240</x:v>
      </x:c>
      <x:c r="I6" s="53" t="n">
        <x:f>F6*(Assumptions!$C$25+Assumptions!$C$26*Assumptions!$C$27)+H6*Assumptions!$C$28</x:f>
        <x:v>612.2</x:v>
      </x:c>
      <x:c r="J6" s="53" t="n">
        <x:f>H6-I6</x:f>
        <x:v>4627.8</x:v>
      </x:c>
    </x:row>
    <x:row r="7">
      <x:c r="A7" s="14" t="str">
        <x:v>Scale</x:v>
      </x:c>
      <x:c r="B7" s="35" t="n">
        <x:v>499</x:v>
      </x:c>
      <x:c r="C7" s="60" t="n">
        <x:v>5</x:v>
      </x:c>
      <x:c r="D7" s="35" t="n">
        <x:v>29</x:v>
      </x:c>
      <x:c r="E7" s="35" t="n">
        <x:v>350</x:v>
      </x:c>
      <x:c r="F7" s="60" t="n">
        <x:v>10</x:v>
      </x:c>
      <x:c r="G7" s="60" t="n">
        <x:v>8</x:v>
      </x:c>
      <x:c r="H7" s="53" t="n">
        <x:f>F7*(B7+MAX(G7-C7,0)*D7)</x:f>
        <x:v>5860</x:v>
      </x:c>
      <x:c r="I7" s="53" t="n">
        <x:f>F7*(Assumptions!$C$25+Assumptions!$C$26*Assumptions!$C$27)+H7*Assumptions!$C$28</x:f>
        <x:v>630.8</x:v>
      </x:c>
      <x:c r="J7" s="53" t="n">
        <x:f>H7-I7</x:f>
        <x:v>5229.2</x:v>
      </x:c>
    </x:row>
    <x:row r="10">
      <x:c r="A10" s="5" t="str">
        <x:v>Audit Questions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14" t="str">
        <x:v>This sheet assumes one average customer size and one average manager count. It does not model customer-specific check volume, discounting, contract length, support complexity, or churn by plan. Those are capstone investigation areas, not proven defects.</x:v>
      </x:c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</x:sheetData>
  <x:mergeCells>
    <x:mergeCell ref="A1:J1"/>
    <x:mergeCell ref="A2:J3"/>
    <x:mergeCell ref="A10:J10"/>
    <x:mergeCell ref="A11:J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7" hidden="0" customWidth="1"/>
    <x:col min="4" max="4" width="22" hidden="0" customWidth="1"/>
    <x:col min="5" max="5" width="18" hidden="0" customWidth="1"/>
    <x:col min="6" max="6" width="22" hidden="0" customWidth="1"/>
    <x:col min="7" max="7" width="28" hidden="0" customWidth="1"/>
    <x:col min="8" max="8" width="48" hidden="0" customWidth="1"/>
  </x:cols>
  <x:sheetData>
    <x:row r="1" ht="28" customHeight="1">
      <x:c r="A1" s="5" t="str">
        <x:v>Future Infrastructure Upgrade Planning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Thresholds are synthetic planning assumptions. A later tool should validate upgrades using measured load, concurrency, uptime, backups, and security requirements.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8" t="str">
        <x:v>Stage</x:v>
      </x:c>
      <x:c r="B4" s="18" t="str">
        <x:v>Customer Range</x:v>
      </x:c>
      <x:c r="C4" s="18" t="str">
        <x:v>Fixed Cost ($/mo)</x:v>
      </x:c>
      <x:c r="D4" s="18" t="str">
        <x:v>Variable Cost ($/customer/mo)</x:v>
      </x:c>
      <x:c r="E4" s="18" t="str">
        <x:v>Example Customers</x:v>
      </x:c>
      <x:c r="F4" s="18" t="str">
        <x:v>Estimated Monthly Cost ($)</x:v>
      </x:c>
      <x:c r="G4" s="18" t="str">
        <x:v>Primary Trigger</x:v>
      </x:c>
      <x:c r="H4" s="18" t="str">
        <x:v>Audit Concern</x:v>
      </x:c>
    </x:row>
    <x:row r="5">
      <x:c r="A5" s="14" t="str">
        <x:v>Local Server</x:v>
      </x:c>
      <x:c r="B5" s="14" t="str">
        <x:v>0–14</x:v>
      </x:c>
      <x:c r="C5" s="35" t="n">
        <x:v>80</x:v>
      </x:c>
      <x:c r="D5" s="35" t="n">
        <x:v>0</x:v>
      </x:c>
      <x:c r="E5" s="60" t="n">
        <x:v>10</x:v>
      </x:c>
      <x:c r="F5" s="53" t="n">
        <x:f>C5+D5*E5</x:f>
        <x:v>80</x:v>
      </x:c>
      <x:c r="G5" s="14" t="str">
        <x:v>Early stage / controlled load</x:v>
      </x:c>
      <x:c r="H5" s="14" t="str">
        <x:v>Single machine risk; threshold is not tied to measured performance.</x:v>
      </x:c>
    </x:row>
    <x:row r="6">
      <x:c r="A6" s="14" t="str">
        <x:v>Cloud Stage 1</x:v>
      </x:c>
      <x:c r="B6" s="14" t="str">
        <x:v>15–49</x:v>
      </x:c>
      <x:c r="C6" s="35" t="n">
        <x:v>250</x:v>
      </x:c>
      <x:c r="D6" s="35" t="n">
        <x:v>8</x:v>
      </x:c>
      <x:c r="E6" s="60" t="n">
        <x:v>25</x:v>
      </x:c>
      <x:c r="F6" s="53" t="n">
        <x:f>C6+D6*E6</x:f>
        <x:v>450</x:v>
      </x:c>
      <x:c r="G6" s="14" t="str">
        <x:v>Growing customer base</x:v>
      </x:c>
      <x:c r="H6" s="14" t="str">
        <x:v>Cost and capacity assumptions are synthetic.</x:v>
      </x:c>
    </x:row>
    <x:row r="7">
      <x:c r="A7" s="14" t="str">
        <x:v>Cloud Stage 2</x:v>
      </x:c>
      <x:c r="B7" s="14" t="str">
        <x:v>50+</x:v>
      </x:c>
      <x:c r="C7" s="35" t="n">
        <x:v>600</x:v>
      </x:c>
      <x:c r="D7" s="35" t="n">
        <x:v>8</x:v>
      </x:c>
      <x:c r="E7" s="60" t="n">
        <x:v>60</x:v>
      </x:c>
      <x:c r="F7" s="53" t="n">
        <x:f>C7+D7*E7</x:f>
        <x:v>1080</x:v>
      </x:c>
      <x:c r="G7" s="14" t="str">
        <x:v>Higher scale / redundancy need</x:v>
      </x:c>
      <x:c r="H7" s="14" t="str">
        <x:v>Should use actual traffic, monitoring, backups, and failover requirements.</x:v>
      </x:c>
    </x:row>
    <x:row r="10">
      <x:c r="A10" s="5" t="str">
        <x:v>Forecast-Linked Recommendation</x:v>
      </x:c>
      <x:c r="B10" s="5"/>
      <x:c r="C10" s="5"/>
      <x:c r="D10" s="5"/>
      <x:c r="E10" s="5"/>
      <x:c r="F10" s="5"/>
      <x:c r="G10" s="5"/>
      <x:c r="H10" s="5"/>
    </x:row>
    <x:row r="11">
      <x:c r="A11" s="66" t="str">
        <x:v>Projected Month 12 Customers</x:v>
      </x:c>
      <x:c r="B11" s="67" t="n">
        <x:f>Monthly_Model!H16</x:f>
        <x:v>42.05961458643354</x:v>
      </x:c>
    </x:row>
    <x:row r="12">
      <x:c r="A12" s="66" t="str">
        <x:v>Recommended Stage</x:v>
      </x:c>
      <x:c r="B12" s="68" t="str">
        <x:f>IF(B11&lt;Assumptions!$C$23,"Local Server",IF(B11&lt;Assumptions!$C$24,"Cloud Stage 1","Cloud Stage 2"))</x:f>
        <x:v>Cloud Stage 1</x:v>
      </x:c>
    </x:row>
  </x:sheetData>
  <x:mergeCells>
    <x:mergeCell ref="A1:H1"/>
    <x:mergeCell ref="A2:H3"/>
    <x:mergeCell ref="A10:H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18" hidden="0" customWidth="1"/>
    <x:col min="8" max="8" width="18" hidden="0" customWidth="1"/>
    <x:col min="9" max="9" width="36" hidden="0" customWidth="1"/>
  </x:cols>
  <x:sheetData>
    <x:row r="1" ht="28" customHeight="1">
      <x:c r="A1" s="5" t="str">
        <x:v>Actual vs Forecast Tracker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1" t="str">
        <x:v>Submitted version intentionally contains no private financial data. Enter aggregate actuals only in a private working copy, and re-sanitize before sharing.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8" t="str">
        <x:v>Month</x:v>
      </x:c>
      <x:c r="B4" s="18" t="str">
        <x:v>Actual Customers</x:v>
      </x:c>
      <x:c r="C4" s="18" t="str">
        <x:v>Actual Revenue ($)</x:v>
      </x:c>
      <x:c r="D4" s="18" t="str">
        <x:v>Actual Ad Spend ($)</x:v>
      </x:c>
      <x:c r="E4" s="18" t="str">
        <x:v>Actual Infrastructure Cost ($)</x:v>
      </x:c>
      <x:c r="F4" s="18" t="str">
        <x:v>Actual Other Operating Cost ($)</x:v>
      </x:c>
      <x:c r="G4" s="18" t="str">
        <x:v>Forecast Revenue ($)</x:v>
      </x:c>
      <x:c r="H4" s="18" t="str">
        <x:v>Revenue Variance ($)</x:v>
      </x:c>
      <x:c r="I4" s="18" t="str">
        <x:v>Notes</x:v>
      </x:c>
    </x:row>
    <x:row r="5">
      <x:c r="A5" t="str">
        <x:v>Month 1</x:v>
      </x:c>
      <x:c r="B5" s="23" t="n">
        <x:v>0</x:v>
      </x:c>
      <x:c r="C5" s="28" t="n">
        <x:v>0</x:v>
      </x:c>
      <x:c r="D5" s="28" t="n">
        <x:v>0</x:v>
      </x:c>
      <x:c r="E5" s="28" t="n">
        <x:v>0</x:v>
      </x:c>
      <x:c r="F5" s="28" t="n">
        <x:v>0</x:v>
      </x:c>
      <x:c r="G5" s="72" t="n">
        <x:f>Monthly_Model!L5</x:f>
        <x:v>2244.6</x:v>
      </x:c>
      <x:c r="H5" s="42" t="n">
        <x:f>C5-G5</x:f>
        <x:v>-2244.6</x:v>
      </x:c>
    </x:row>
    <x:row r="6">
      <x:c r="A6" t="str">
        <x:v>Month 2</x:v>
      </x:c>
      <x:c r="B6" s="23" t="n">
        <x:v>0</x:v>
      </x:c>
      <x:c r="C6" s="28" t="n">
        <x:v>0</x:v>
      </x:c>
      <x:c r="D6" s="28" t="n">
        <x:v>0</x:v>
      </x:c>
      <x:c r="E6" s="28" t="n">
        <x:v>0</x:v>
      </x:c>
      <x:c r="F6" s="28" t="n">
        <x:v>0</x:v>
      </x:c>
      <x:c r="G6" s="72" t="n">
        <x:f>Monthly_Model!L6</x:f>
        <x:v>3841.884</x:v>
      </x:c>
      <x:c r="H6" s="42" t="n">
        <x:f>C6-G6</x:f>
        <x:v>-3841.884</x:v>
      </x:c>
    </x:row>
    <x:row r="7">
      <x:c r="A7" t="str">
        <x:v>Month 3</x:v>
      </x:c>
      <x:c r="B7" s="23" t="n">
        <x:v>0</x:v>
      </x:c>
      <x:c r="C7" s="28" t="n">
        <x:v>0</x:v>
      </x:c>
      <x:c r="D7" s="28" t="n">
        <x:v>0</x:v>
      </x:c>
      <x:c r="E7" s="28" t="n">
        <x:v>0</x:v>
      </x:c>
      <x:c r="F7" s="28" t="n">
        <x:v>0</x:v>
      </x:c>
      <x:c r="G7" s="72" t="n">
        <x:f>Monthly_Model!L7</x:f>
        <x:v>5491.01916</x:v>
      </x:c>
      <x:c r="H7" s="42" t="n">
        <x:f>C7-G7</x:f>
        <x:v>-5491.01916</x:v>
      </x:c>
    </x:row>
    <x:row r="8">
      <x:c r="A8" t="str">
        <x:v>Month 4</x:v>
      </x:c>
      <x:c r="B8" s="23" t="n">
        <x:v>0</x:v>
      </x:c>
      <x:c r="C8" s="28" t="n">
        <x:v>0</x:v>
      </x:c>
      <x:c r="D8" s="28" t="n">
        <x:v>0</x:v>
      </x:c>
      <x:c r="E8" s="28" t="n">
        <x:v>0</x:v>
      </x:c>
      <x:c r="F8" s="28" t="n">
        <x:v>0</x:v>
      </x:c>
      <x:c r="G8" s="72" t="n">
        <x:f>Monthly_Model!L8</x:f>
        <x:v>7194.8781684</x:v>
      </x:c>
      <x:c r="H8" s="42" t="n">
        <x:f>C8-G8</x:f>
        <x:v>-7194.8781684</x:v>
      </x:c>
    </x:row>
    <x:row r="9">
      <x:c r="A9" t="str">
        <x:v>Month 5</x:v>
      </x:c>
      <x:c r="B9" s="23" t="n">
        <x:v>0</x:v>
      </x:c>
      <x:c r="C9" s="28" t="n">
        <x:v>0</x:v>
      </x:c>
      <x:c r="D9" s="28" t="n">
        <x:v>0</x:v>
      </x:c>
      <x:c r="E9" s="28" t="n">
        <x:v>0</x:v>
      </x:c>
      <x:c r="F9" s="28" t="n">
        <x:v>0</x:v>
      </x:c>
      <x:c r="G9" s="72" t="n">
        <x:f>Monthly_Model!L9</x:f>
        <x:v>8956.474546716</x:v>
      </x:c>
      <x:c r="H9" s="42" t="n">
        <x:f>C9-G9</x:f>
        <x:v>-8956.474546716</x:v>
      </x:c>
    </x:row>
    <x:row r="10">
      <x:c r="A10" t="str">
        <x:v>Month 6</x:v>
      </x:c>
      <x:c r="B10" s="23" t="n">
        <x:v>0</x:v>
      </x:c>
      <x:c r="C10" s="28" t="n">
        <x:v>0</x:v>
      </x:c>
      <x:c r="D10" s="28" t="n">
        <x:v>0</x:v>
      </x:c>
      <x:c r="E10" s="28" t="n">
        <x:v>0</x:v>
      </x:c>
      <x:c r="F10" s="28" t="n">
        <x:v>0</x:v>
      </x:c>
      <x:c r="G10" s="72" t="n">
        <x:f>Monthly_Model!L10</x:f>
        <x:v>10778.969719248842</x:v>
      </x:c>
      <x:c r="H10" s="42" t="n">
        <x:f>C10-G10</x:f>
        <x:v>-10778.969719248842</x:v>
      </x:c>
    </x:row>
    <x:row r="11">
      <x:c r="A11" t="str">
        <x:v>Month 7</x:v>
      </x:c>
      <x:c r="B11" s="23" t="n">
        <x:v>0</x:v>
      </x:c>
      <x:c r="C11" s="28" t="n">
        <x:v>0</x:v>
      </x:c>
      <x:c r="D11" s="28" t="n">
        <x:v>0</x:v>
      </x:c>
      <x:c r="E11" s="28" t="n">
        <x:v>0</x:v>
      </x:c>
      <x:c r="F11" s="28" t="n">
        <x:v>0</x:v>
      </x:c>
      <x:c r="G11" s="72" t="n">
        <x:f>Monthly_Model!L11</x:f>
        <x:v>12665.680435956354</x:v>
      </x:c>
      <x:c r="H11" s="42" t="n">
        <x:f>C11-G11</x:f>
        <x:v>-12665.680435956354</x:v>
      </x:c>
    </x:row>
    <x:row r="12">
      <x:c r="A12" t="str">
        <x:v>Month 8</x:v>
      </x:c>
      <x:c r="B12" s="23" t="n">
        <x:v>0</x:v>
      </x:c>
      <x:c r="C12" s="28" t="n">
        <x:v>0</x:v>
      </x:c>
      <x:c r="D12" s="28" t="n">
        <x:v>0</x:v>
      </x:c>
      <x:c r="E12" s="28" t="n">
        <x:v>0</x:v>
      </x:c>
      <x:c r="F12" s="28" t="n">
        <x:v>0</x:v>
      </x:c>
      <x:c r="G12" s="72" t="n">
        <x:f>Monthly_Model!L12</x:f>
        <x:v>14620.08656619179</x:v>
      </x:c>
      <x:c r="H12" s="42" t="n">
        <x:f>C12-G12</x:f>
        <x:v>-14620.08656619179</x:v>
      </x:c>
    </x:row>
    <x:row r="13">
      <x:c r="A13" t="str">
        <x:v>Month 9</x:v>
      </x:c>
      <x:c r="B13" s="23" t="n">
        <x:v>0</x:v>
      </x:c>
      <x:c r="C13" s="28" t="n">
        <x:v>0</x:v>
      </x:c>
      <x:c r="D13" s="28" t="n">
        <x:v>0</x:v>
      </x:c>
      <x:c r="E13" s="28" t="n">
        <x:v>0</x:v>
      </x:c>
      <x:c r="F13" s="28" t="n">
        <x:v>0</x:v>
      </x:c>
      <x:c r="G13" s="72" t="n">
        <x:f>Monthly_Model!L13</x:f>
        <x:v>16645.839281854624</x:v>
      </x:c>
      <x:c r="H13" s="42" t="n">
        <x:f>C13-G13</x:f>
        <x:v>-16645.839281854624</x:v>
      </x:c>
    </x:row>
    <x:row r="14">
      <x:c r="A14" t="str">
        <x:v>Month 10</x:v>
      </x:c>
      <x:c r="B14" s="23" t="n">
        <x:v>0</x:v>
      </x:c>
      <x:c r="C14" s="28" t="n">
        <x:v>0</x:v>
      </x:c>
      <x:c r="D14" s="28" t="n">
        <x:v>0</x:v>
      </x:c>
      <x:c r="E14" s="28" t="n">
        <x:v>0</x:v>
      </x:c>
      <x:c r="F14" s="28" t="n">
        <x:v>0</x:v>
      </x:c>
      <x:c r="G14" s="72" t="n">
        <x:f>Monthly_Model!L14</x:f>
        <x:v>18746.769649427064</x:v>
      </x:c>
      <x:c r="H14" s="42" t="n">
        <x:f>C14-G14</x:f>
        <x:v>-18746.769649427064</x:v>
      </x:c>
    </x:row>
    <x:row r="15">
      <x:c r="A15" t="str">
        <x:v>Month 11</x:v>
      </x:c>
      <x:c r="B15" s="23" t="n">
        <x:v>0</x:v>
      </x:c>
      <x:c r="C15" s="28" t="n">
        <x:v>0</x:v>
      </x:c>
      <x:c r="D15" s="28" t="n">
        <x:v>0</x:v>
      </x:c>
      <x:c r="E15" s="28" t="n">
        <x:v>0</x:v>
      </x:c>
      <x:c r="F15" s="28" t="n">
        <x:v>0</x:v>
      </x:c>
      <x:c r="G15" s="72" t="n">
        <x:f>Monthly_Model!L15</x:f>
        <x:v>20926.897651343334</x:v>
      </x:c>
      <x:c r="H15" s="42" t="n">
        <x:f>C15-G15</x:f>
        <x:v>-20926.897651343334</x:v>
      </x:c>
    </x:row>
    <x:row r="16">
      <x:c r="A16" t="str">
        <x:v>Month 12</x:v>
      </x:c>
      <x:c r="B16" s="23" t="n">
        <x:v>0</x:v>
      </x:c>
      <x:c r="C16" s="28" t="n">
        <x:v>0</x:v>
      </x:c>
      <x:c r="D16" s="28" t="n">
        <x:v>0</x:v>
      </x:c>
      <x:c r="E16" s="28" t="n">
        <x:v>0</x:v>
      </x:c>
      <x:c r="F16" s="28" t="n">
        <x:v>0</x:v>
      </x:c>
      <x:c r="G16" s="72" t="n">
        <x:f>Monthly_Model!L16</x:f>
        <x:v>23190.441658160962</x:v>
      </x:c>
      <x:c r="H16" s="42" t="n">
        <x:f>C16-G16</x:f>
        <x:v>-23190.441658160962</x:v>
      </x:c>
    </x:row>
  </x:sheetData>
  <x:mergeCells>
    <x:mergeCell ref="A1:I1"/>
    <x:mergeCell ref="A2:I3"/>
  </x:mergeCells>
  <x:conditionalFormatting sqref="H5:H16">
    <x:cfRule type="expression" dxfId="2" priority="1">
      <x:formula>H5&lt;0</x:formula>
    </x:cfRule>
    <x:cfRule type="expression" dxfId="3" priority="2">
      <x:formula>H5&gt;=0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SyntraTech Planning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1" t="str">
        <x:v>Synthetic 12-month planning view. Use for scenario discussion only; not a financial statement or a production-capacity guarantee.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5" t="str">
        <x:v>Key Planning Outputs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74" t="str">
        <x:v>Month 12 Customers</x:v>
      </x:c>
      <x:c r="B5" s="67" t="n">
        <x:f>Monthly_Model!H16</x:f>
        <x:v>42.05961458643354</x:v>
      </x:c>
      <x:c r="C5" s="66" t="str">
        <x:v>customers</x:v>
      </x:c>
    </x:row>
    <x:row r="6">
      <x:c r="A6" s="74" t="str">
        <x:v>Month 12 Revenue</x:v>
      </x:c>
      <x:c r="B6" s="76" t="n">
        <x:f>Monthly_Model!L16</x:f>
        <x:v>23190.441658160962</x:v>
      </x:c>
      <x:c r="C6" s="66" t="str">
        <x:v>$/month</x:v>
      </x:c>
    </x:row>
    <x:row r="7">
      <x:c r="A7" s="74" t="str">
        <x:v>Month 12 Net Income</x:v>
      </x:c>
      <x:c r="B7" s="76" t="n">
        <x:f>Monthly_Model!R16</x:f>
        <x:v>18128.608714993832</x:v>
      </x:c>
      <x:c r="C7" s="66" t="str">
        <x:v>$/month</x:v>
      </x:c>
    </x:row>
    <x:row r="8">
      <x:c r="A8" s="74" t="str">
        <x:v>12-Month Revenue</x:v>
      </x:c>
      <x:c r="B8" s="76" t="n">
        <x:f>Monthly_Model!L18</x:f>
        <x:v>145303.54083729896</x:v>
      </x:c>
      <x:c r="C8" s="66" t="str">
        <x:v>$</x:v>
      </x:c>
    </x:row>
    <x:row r="9">
      <x:c r="A9" s="74" t="str">
        <x:v>12-Month Net Income</x:v>
      </x:c>
      <x:c r="B9" s="76" t="n">
        <x:f>Monthly_Model!R18</x:f>
        <x:v>106305.88068180575</x:v>
      </x:c>
      <x:c r="C9" s="66" t="str">
        <x:v>$</x:v>
      </x:c>
    </x:row>
    <x:row r="10">
      <x:c r="A10" s="74" t="str">
        <x:v>Month 12 Ending Cash</x:v>
      </x:c>
      <x:c r="B10" s="76" t="n">
        <x:f>Monthly_Model!S16</x:f>
        <x:v>111305.88068180575</x:v>
      </x:c>
      <x:c r="C10" s="66" t="str">
        <x:v>$</x:v>
      </x:c>
    </x:row>
    <x:row r="11">
      <x:c r="A11" s="74" t="str">
        <x:v>Recommended Infrastructure</x:v>
      </x:c>
      <x:c r="B11" s="68" t="str">
        <x:f>Cloud_Upgrade!B12</x:f>
        <x:v>Cloud Stage 1</x:v>
      </x:c>
      <x:c r="C11" s="66" t="str">
        <x:v>stage</x:v>
      </x:c>
    </x:row>
    <x:row r="13">
      <x:c r="A13" s="5" t="str">
        <x:v>Why This Workbook Is a Good Capstone Candidate</x:v>
      </x:c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>
      <x:c r="A14" s="14" t="str">
        <x:v>The workbook supports a real SyntraTech planning problem: deciding how to price the service, how much to spend on customer acquisition, when infrastructure costs may need to increase, and whether customer growth produces sustainable operating income. A future Python replacement could add stronger validation, customer-level scenarios, measured infrastructure triggers, automated actual-vs-forecast imports, tests, and clearer audit trails.</x:v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</x:sheetData>
  <x:mergeCells>
    <x:mergeCell ref="A1:L1"/>
    <x:mergeCell ref="A2:L3"/>
    <x:mergeCell ref="A4:L4"/>
    <x:mergeCell ref="A13:L13"/>
    <x:mergeCell ref="A14:L20"/>
  </x:mergeCells>
  <x:pageMargins left="0.7" right="0.7" top="0.75" bottom="0.75" header="0.3" footer="0.3"/>
  <x:drawing xmlns:r="http://schemas.openxmlformats.org/officeDocument/2006/relationships" r:id="R819ee86f2c864a58"/>
</x:worksheet>
</file>